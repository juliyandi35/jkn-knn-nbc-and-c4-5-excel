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 activeTab="4"/>
  </bookViews>
  <sheets>
    <sheet name="CLEANING" sheetId="2" r:id="rId1"/>
    <sheet name="NORMALISASI" sheetId="3" r:id="rId2"/>
    <sheet name="DATA TRAINING" sheetId="4" r:id="rId3"/>
    <sheet name="DATA TESTING" sheetId="5" r:id="rId4"/>
    <sheet name="NBC" sheetId="7" r:id="rId5"/>
    <sheet name="C4.5" sheetId="8" r:id="rId6"/>
    <sheet name="KNN" sheetId="10" r:id="rId7"/>
  </sheets>
  <calcPr calcId="144525"/>
</workbook>
</file>

<file path=xl/calcChain.xml><?xml version="1.0" encoding="utf-8"?>
<calcChain xmlns="http://schemas.openxmlformats.org/spreadsheetml/2006/main">
  <c r="AH128" i="7" l="1"/>
  <c r="E143" i="7" l="1"/>
  <c r="D141" i="7"/>
  <c r="C141" i="7"/>
  <c r="E140" i="7"/>
  <c r="E139" i="7"/>
  <c r="C112" i="7"/>
  <c r="AB125" i="7"/>
  <c r="A122" i="7"/>
  <c r="B122" i="7"/>
  <c r="C122" i="7"/>
  <c r="D122" i="7"/>
  <c r="E122" i="7"/>
  <c r="F126" i="7" s="1"/>
  <c r="F122" i="7"/>
  <c r="G126" i="7" s="1"/>
  <c r="G122" i="7"/>
  <c r="H126" i="7" s="1"/>
  <c r="H122" i="7"/>
  <c r="I125" i="7" s="1"/>
  <c r="I122" i="7"/>
  <c r="J122" i="7"/>
  <c r="K122" i="7"/>
  <c r="L122" i="7"/>
  <c r="M122" i="7"/>
  <c r="N126" i="7" s="1"/>
  <c r="N122" i="7"/>
  <c r="O126" i="7" s="1"/>
  <c r="O122" i="7"/>
  <c r="P126" i="7" s="1"/>
  <c r="P122" i="7"/>
  <c r="Q125" i="7" s="1"/>
  <c r="Q122" i="7"/>
  <c r="R122" i="7"/>
  <c r="S122" i="7"/>
  <c r="T122" i="7"/>
  <c r="U122" i="7"/>
  <c r="V125" i="7" s="1"/>
  <c r="V122" i="7"/>
  <c r="W126" i="7" s="1"/>
  <c r="W122" i="7"/>
  <c r="X126" i="7" s="1"/>
  <c r="X122" i="7"/>
  <c r="Y125" i="7" s="1"/>
  <c r="Y122" i="7"/>
  <c r="Z122" i="7"/>
  <c r="AA122" i="7"/>
  <c r="AB126" i="7" s="1"/>
  <c r="AB122" i="7"/>
  <c r="AC122" i="7"/>
  <c r="AD126" i="7" s="1"/>
  <c r="AD122" i="7"/>
  <c r="AE126" i="7" s="1"/>
  <c r="AE122" i="7"/>
  <c r="AF126" i="7" s="1"/>
  <c r="AF122" i="7"/>
  <c r="AG125" i="7" s="1"/>
  <c r="AG122" i="7"/>
  <c r="AH122" i="7"/>
  <c r="AI122" i="7"/>
  <c r="C99" i="7"/>
  <c r="AI126" i="7"/>
  <c r="AH126" i="7"/>
  <c r="AC126" i="7"/>
  <c r="AA126" i="7"/>
  <c r="Z126" i="7"/>
  <c r="U126" i="7"/>
  <c r="T126" i="7"/>
  <c r="S126" i="7"/>
  <c r="R126" i="7"/>
  <c r="M126" i="7"/>
  <c r="L126" i="7"/>
  <c r="K126" i="7"/>
  <c r="J126" i="7"/>
  <c r="E126" i="7"/>
  <c r="D126" i="7"/>
  <c r="C126" i="7"/>
  <c r="AI125" i="7"/>
  <c r="AH125" i="7"/>
  <c r="AC125" i="7"/>
  <c r="AA125" i="7"/>
  <c r="Z125" i="7"/>
  <c r="U125" i="7"/>
  <c r="T125" i="7"/>
  <c r="S125" i="7"/>
  <c r="R125" i="7"/>
  <c r="M125" i="7"/>
  <c r="L125" i="7"/>
  <c r="K125" i="7"/>
  <c r="J125" i="7"/>
  <c r="E125" i="7"/>
  <c r="D125" i="7"/>
  <c r="C125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C35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BQ2" i="10"/>
  <c r="BL2" i="10"/>
  <c r="BG2" i="10"/>
  <c r="BB5" i="10"/>
  <c r="AW4" i="10"/>
  <c r="AR3" i="10"/>
  <c r="AP24" i="10"/>
  <c r="AO22" i="10"/>
  <c r="AN22" i="10"/>
  <c r="AP21" i="10"/>
  <c r="AP20" i="10"/>
  <c r="BV7" i="10"/>
  <c r="BQ4" i="10"/>
  <c r="BL4" i="10"/>
  <c r="BG4" i="10"/>
  <c r="BB4" i="10"/>
  <c r="AW7" i="10"/>
  <c r="AR4" i="10"/>
  <c r="AM2" i="10"/>
  <c r="BV8" i="10"/>
  <c r="BQ5" i="10"/>
  <c r="BL7" i="10"/>
  <c r="BG7" i="10"/>
  <c r="BB7" i="10"/>
  <c r="AW8" i="10"/>
  <c r="AR7" i="10"/>
  <c r="AM3" i="10"/>
  <c r="BV4" i="10"/>
  <c r="BQ3" i="10"/>
  <c r="BL3" i="10"/>
  <c r="BG3" i="10"/>
  <c r="BB3" i="10"/>
  <c r="AW3" i="10"/>
  <c r="AM4" i="10"/>
  <c r="BV5" i="10"/>
  <c r="BB2" i="10"/>
  <c r="AW2" i="10"/>
  <c r="AR2" i="10"/>
  <c r="AM5" i="10"/>
  <c r="BV10" i="10"/>
  <c r="BQ10" i="10"/>
  <c r="BL8" i="10"/>
  <c r="BG8" i="10"/>
  <c r="BB8" i="10"/>
  <c r="AW11" i="10"/>
  <c r="AR8" i="10"/>
  <c r="AM9" i="10"/>
  <c r="BV3" i="10"/>
  <c r="BQ11" i="10"/>
  <c r="BL10" i="10"/>
  <c r="BG10" i="10"/>
  <c r="BB10" i="10"/>
  <c r="AW5" i="10"/>
  <c r="AR10" i="10"/>
  <c r="AM11" i="10"/>
  <c r="BV12" i="10"/>
  <c r="BQ8" i="10"/>
  <c r="BL11" i="10"/>
  <c r="BG11" i="10"/>
  <c r="BB11" i="10"/>
  <c r="AW13" i="10"/>
  <c r="AR11" i="10"/>
  <c r="AM10" i="10"/>
  <c r="BV9" i="10"/>
  <c r="BQ7" i="10"/>
  <c r="BL6" i="10"/>
  <c r="BG6" i="10"/>
  <c r="BB6" i="10"/>
  <c r="AW9" i="10"/>
  <c r="AR6" i="10"/>
  <c r="AM7" i="10"/>
  <c r="BV6" i="10"/>
  <c r="BQ9" i="10"/>
  <c r="BL12" i="10"/>
  <c r="BG12" i="10"/>
  <c r="BB12" i="10"/>
  <c r="AW6" i="10"/>
  <c r="AR12" i="10"/>
  <c r="AM12" i="10"/>
  <c r="BV11" i="10"/>
  <c r="BQ13" i="10"/>
  <c r="BL13" i="10"/>
  <c r="BG13" i="10"/>
  <c r="BB13" i="10"/>
  <c r="AW10" i="10"/>
  <c r="AR13" i="10"/>
  <c r="AM13" i="10"/>
  <c r="BV13" i="10"/>
  <c r="BQ12" i="10"/>
  <c r="BL9" i="10"/>
  <c r="BG9" i="10"/>
  <c r="BB9" i="10"/>
  <c r="AW12" i="10"/>
  <c r="AR9" i="10"/>
  <c r="AM8" i="10"/>
  <c r="BV2" i="10"/>
  <c r="BQ6" i="10"/>
  <c r="BL5" i="10"/>
  <c r="BG5" i="10"/>
  <c r="AR5" i="10"/>
  <c r="AM6" i="10"/>
  <c r="H3" i="8"/>
  <c r="I126" i="7" l="1"/>
  <c r="Y126" i="7"/>
  <c r="Q126" i="7"/>
  <c r="AG126" i="7"/>
  <c r="F125" i="7"/>
  <c r="N125" i="7"/>
  <c r="AD125" i="7"/>
  <c r="G125" i="7"/>
  <c r="O125" i="7"/>
  <c r="W125" i="7"/>
  <c r="AE125" i="7"/>
  <c r="V126" i="7"/>
  <c r="H125" i="7"/>
  <c r="P125" i="7"/>
  <c r="X125" i="7"/>
  <c r="AF125" i="7"/>
  <c r="F4" i="8"/>
  <c r="E2" i="8" l="1"/>
  <c r="F53" i="8" l="1"/>
  <c r="F52" i="8"/>
  <c r="F51" i="8"/>
  <c r="F50" i="8"/>
  <c r="F48" i="8"/>
  <c r="F47" i="8"/>
  <c r="F46" i="8"/>
  <c r="F45" i="8"/>
  <c r="F44" i="8"/>
  <c r="F41" i="8"/>
  <c r="F33" i="8"/>
  <c r="E53" i="8"/>
  <c r="E52" i="8"/>
  <c r="E51" i="8"/>
  <c r="E50" i="8"/>
  <c r="E49" i="8"/>
  <c r="G49" i="8" s="1"/>
  <c r="E48" i="8"/>
  <c r="E47" i="8"/>
  <c r="E46" i="8"/>
  <c r="E45" i="8"/>
  <c r="E44" i="8"/>
  <c r="E41" i="8"/>
  <c r="D53" i="8"/>
  <c r="D52" i="8"/>
  <c r="D51" i="8"/>
  <c r="D50" i="8"/>
  <c r="D48" i="8"/>
  <c r="D47" i="8"/>
  <c r="D46" i="8"/>
  <c r="D45" i="8"/>
  <c r="D44" i="8"/>
  <c r="D41" i="8"/>
  <c r="E42" i="8" l="1"/>
  <c r="G42" i="8" s="1"/>
  <c r="E33" i="8"/>
  <c r="D33" i="8"/>
  <c r="F39" i="8"/>
  <c r="F38" i="8"/>
  <c r="F37" i="8"/>
  <c r="F36" i="8"/>
  <c r="F35" i="8"/>
  <c r="F22" i="8"/>
  <c r="E39" i="8"/>
  <c r="E38" i="8"/>
  <c r="E37" i="8"/>
  <c r="E36" i="8"/>
  <c r="E35" i="8"/>
  <c r="E34" i="8"/>
  <c r="E22" i="8"/>
  <c r="D39" i="8"/>
  <c r="D38" i="8"/>
  <c r="D37" i="8"/>
  <c r="D36" i="8"/>
  <c r="D35" i="8"/>
  <c r="D22" i="8"/>
  <c r="F31" i="8"/>
  <c r="F30" i="8"/>
  <c r="F29" i="8"/>
  <c r="F28" i="8"/>
  <c r="F27" i="8"/>
  <c r="F25" i="8"/>
  <c r="F24" i="8"/>
  <c r="F23" i="8"/>
  <c r="F16" i="8"/>
  <c r="E31" i="8"/>
  <c r="E30" i="8"/>
  <c r="E29" i="8"/>
  <c r="E28" i="8"/>
  <c r="E27" i="8"/>
  <c r="E26" i="8"/>
  <c r="E25" i="8"/>
  <c r="E24" i="8"/>
  <c r="E23" i="8"/>
  <c r="E16" i="8"/>
  <c r="D31" i="8"/>
  <c r="D30" i="8"/>
  <c r="D29" i="8"/>
  <c r="D28" i="8"/>
  <c r="D27" i="8"/>
  <c r="D25" i="8"/>
  <c r="D24" i="8"/>
  <c r="D23" i="8"/>
  <c r="D16" i="8"/>
  <c r="I15" i="8" s="1"/>
  <c r="F20" i="8"/>
  <c r="F19" i="8"/>
  <c r="F18" i="8"/>
  <c r="F10" i="8"/>
  <c r="E20" i="8"/>
  <c r="E19" i="8"/>
  <c r="E18" i="8"/>
  <c r="E17" i="8"/>
  <c r="G17" i="8" s="1"/>
  <c r="E10" i="8"/>
  <c r="G27" i="8" l="1"/>
  <c r="G35" i="8"/>
  <c r="I21" i="8"/>
  <c r="G16" i="8"/>
  <c r="I32" i="8"/>
  <c r="D19" i="8" l="1"/>
  <c r="D20" i="8"/>
  <c r="D18" i="8"/>
  <c r="D10" i="8"/>
  <c r="I9" i="8" l="1"/>
  <c r="G10" i="8"/>
  <c r="F14" i="8"/>
  <c r="F13" i="8"/>
  <c r="F12" i="8"/>
  <c r="E14" i="8"/>
  <c r="E13" i="8"/>
  <c r="E12" i="8"/>
  <c r="E11" i="8"/>
  <c r="G11" i="8" s="1"/>
  <c r="E4" i="8"/>
  <c r="D14" i="8"/>
  <c r="D13" i="8"/>
  <c r="D12" i="8"/>
  <c r="D5" i="8"/>
  <c r="D4" i="8"/>
  <c r="E5" i="8"/>
  <c r="D8" i="8"/>
  <c r="D7" i="8"/>
  <c r="D6" i="8"/>
  <c r="F2" i="8"/>
  <c r="G2" i="8" s="1"/>
  <c r="I3" i="8" l="1"/>
  <c r="J3" i="8" s="1"/>
  <c r="H9" i="8"/>
  <c r="J9" i="8" s="1"/>
  <c r="H32" i="8"/>
  <c r="J32" i="8" s="1"/>
  <c r="H21" i="8"/>
  <c r="J21" i="8" s="1"/>
  <c r="H15" i="8"/>
  <c r="J15" i="8" s="1"/>
  <c r="F8" i="8"/>
  <c r="F7" i="8"/>
  <c r="F6" i="8"/>
  <c r="F5" i="8"/>
  <c r="E8" i="8"/>
  <c r="E7" i="8"/>
  <c r="G7" i="8" s="1"/>
  <c r="E6" i="8"/>
  <c r="C27" i="7" l="1"/>
  <c r="B27" i="7"/>
  <c r="B28" i="7" l="1"/>
  <c r="C28" i="7"/>
  <c r="D36" i="7" l="1"/>
  <c r="L36" i="7"/>
  <c r="T36" i="7"/>
  <c r="AB36" i="7"/>
  <c r="C36" i="7"/>
  <c r="K62" i="7"/>
  <c r="S49" i="7"/>
  <c r="AA49" i="7"/>
  <c r="E36" i="7"/>
  <c r="M36" i="7"/>
  <c r="U36" i="7"/>
  <c r="AC36" i="7"/>
  <c r="O36" i="7"/>
  <c r="AE36" i="7"/>
  <c r="R62" i="7"/>
  <c r="Z49" i="7"/>
  <c r="F36" i="7"/>
  <c r="N36" i="7"/>
  <c r="V36" i="7"/>
  <c r="AD36" i="7"/>
  <c r="W36" i="7"/>
  <c r="G36" i="7"/>
  <c r="J101" i="7"/>
  <c r="S36" i="7"/>
  <c r="AI36" i="7"/>
  <c r="I36" i="7"/>
  <c r="J36" i="7"/>
  <c r="K36" i="7"/>
  <c r="AF36" i="7"/>
  <c r="H36" i="7"/>
  <c r="X36" i="7"/>
  <c r="Y36" i="7"/>
  <c r="Z36" i="7"/>
  <c r="AA36" i="7"/>
  <c r="AI114" i="7"/>
  <c r="AG36" i="7"/>
  <c r="AA114" i="7"/>
  <c r="Q36" i="7"/>
  <c r="R36" i="7"/>
  <c r="AH36" i="7"/>
  <c r="R49" i="7"/>
  <c r="P36" i="7"/>
  <c r="M49" i="7"/>
  <c r="AI49" i="7"/>
  <c r="AH75" i="7"/>
  <c r="AF88" i="7"/>
  <c r="AD101" i="7"/>
  <c r="C75" i="7"/>
  <c r="E49" i="7"/>
  <c r="Y62" i="7"/>
  <c r="AA127" i="7"/>
  <c r="J62" i="7"/>
  <c r="AA62" i="7"/>
  <c r="E114" i="7"/>
  <c r="S101" i="7"/>
  <c r="J49" i="7"/>
  <c r="AG75" i="7"/>
  <c r="E75" i="7"/>
  <c r="AF114" i="7"/>
  <c r="AI88" i="7"/>
  <c r="AF101" i="7"/>
  <c r="AG114" i="7"/>
  <c r="V49" i="7"/>
  <c r="G101" i="7"/>
  <c r="P49" i="7"/>
  <c r="O62" i="7"/>
  <c r="O75" i="7"/>
  <c r="L88" i="7"/>
  <c r="I101" i="7"/>
  <c r="R114" i="7"/>
  <c r="AI127" i="7"/>
  <c r="R88" i="7"/>
  <c r="P62" i="7"/>
  <c r="P75" i="7"/>
  <c r="M88" i="7"/>
  <c r="Z101" i="7"/>
  <c r="S75" i="7"/>
  <c r="AA75" i="7"/>
  <c r="U49" i="7"/>
  <c r="AC114" i="7"/>
  <c r="Z62" i="7"/>
  <c r="U114" i="7"/>
  <c r="N114" i="7"/>
  <c r="AA101" i="7"/>
  <c r="AH49" i="7"/>
  <c r="AG127" i="7"/>
  <c r="L49" i="7"/>
  <c r="J75" i="7"/>
  <c r="X88" i="7"/>
  <c r="Z127" i="7"/>
  <c r="AC49" i="7"/>
  <c r="K101" i="7"/>
  <c r="AB62" i="7"/>
  <c r="I62" i="7"/>
  <c r="AH62" i="7"/>
  <c r="I75" i="7"/>
  <c r="AE88" i="7"/>
  <c r="U127" i="7"/>
  <c r="AC127" i="7"/>
  <c r="F62" i="7"/>
  <c r="N75" i="7"/>
  <c r="S88" i="7"/>
  <c r="X101" i="7"/>
  <c r="E62" i="7"/>
  <c r="P114" i="7"/>
  <c r="Z114" i="7"/>
  <c r="O101" i="7"/>
  <c r="AG49" i="7"/>
  <c r="R101" i="7"/>
  <c r="AG101" i="7"/>
  <c r="H62" i="7"/>
  <c r="N101" i="7"/>
  <c r="N88" i="7"/>
  <c r="L127" i="7"/>
  <c r="G88" i="7"/>
  <c r="I127" i="7"/>
  <c r="I114" i="7"/>
  <c r="AE62" i="7"/>
  <c r="I49" i="7"/>
  <c r="H88" i="7"/>
  <c r="C62" i="7"/>
  <c r="AC101" i="7"/>
  <c r="D114" i="7"/>
  <c r="R75" i="7"/>
  <c r="V127" i="7"/>
  <c r="N49" i="7"/>
  <c r="AI101" i="7"/>
  <c r="AB49" i="7"/>
  <c r="AG62" i="7"/>
  <c r="AD114" i="7"/>
  <c r="O114" i="7"/>
  <c r="Q75" i="7"/>
  <c r="L114" i="7"/>
  <c r="C101" i="7"/>
  <c r="J88" i="7"/>
  <c r="G49" i="7"/>
  <c r="N62" i="7"/>
  <c r="V75" i="7"/>
  <c r="AA88" i="7"/>
  <c r="AC62" i="7"/>
  <c r="D88" i="7"/>
  <c r="Q101" i="7"/>
  <c r="AH114" i="7"/>
  <c r="E88" i="7"/>
  <c r="AH101" i="7"/>
  <c r="D127" i="7"/>
  <c r="I88" i="7"/>
  <c r="Z75" i="7"/>
  <c r="D49" i="7"/>
  <c r="T49" i="7"/>
  <c r="L75" i="7"/>
  <c r="Q62" i="7"/>
  <c r="F114" i="7"/>
  <c r="D101" i="7"/>
  <c r="AE114" i="7"/>
  <c r="Y75" i="7"/>
  <c r="T114" i="7"/>
  <c r="F49" i="7"/>
  <c r="O49" i="7"/>
  <c r="V62" i="7"/>
  <c r="AD75" i="7"/>
  <c r="G75" i="7"/>
  <c r="T88" i="7"/>
  <c r="Y101" i="7"/>
  <c r="M62" i="7"/>
  <c r="H114" i="7"/>
  <c r="H75" i="7"/>
  <c r="U88" i="7"/>
  <c r="T127" i="7"/>
  <c r="E101" i="7"/>
  <c r="Y127" i="7"/>
  <c r="AD62" i="7"/>
  <c r="R127" i="7"/>
  <c r="M75" i="7"/>
  <c r="G62" i="7"/>
  <c r="AB88" i="7"/>
  <c r="X114" i="7"/>
  <c r="AC88" i="7"/>
  <c r="X49" i="7"/>
  <c r="AF62" i="7"/>
  <c r="Y88" i="7"/>
  <c r="L62" i="7"/>
  <c r="C88" i="7"/>
  <c r="AF49" i="7"/>
  <c r="S127" i="7"/>
  <c r="AG88" i="7"/>
  <c r="C49" i="7"/>
  <c r="M114" i="7"/>
  <c r="V114" i="7"/>
  <c r="G114" i="7"/>
  <c r="L101" i="7"/>
  <c r="AI75" i="7"/>
  <c r="AB114" i="7"/>
  <c r="W49" i="7"/>
  <c r="W75" i="7"/>
  <c r="X75" i="7"/>
  <c r="Q88" i="7"/>
  <c r="O88" i="7"/>
  <c r="H101" i="7"/>
  <c r="AH88" i="7"/>
  <c r="S114" i="7"/>
  <c r="J127" i="7"/>
  <c r="K49" i="7"/>
  <c r="F101" i="7"/>
  <c r="D75" i="7"/>
  <c r="K75" i="7"/>
  <c r="W114" i="7"/>
  <c r="F88" i="7"/>
  <c r="T101" i="7"/>
  <c r="S62" i="7"/>
  <c r="M101" i="7"/>
  <c r="Q127" i="7"/>
  <c r="W101" i="7"/>
  <c r="AE49" i="7"/>
  <c r="AH127" i="7"/>
  <c r="H49" i="7"/>
  <c r="W62" i="7"/>
  <c r="AE75" i="7"/>
  <c r="U75" i="7"/>
  <c r="X62" i="7"/>
  <c r="AF75" i="7"/>
  <c r="C114" i="7"/>
  <c r="D62" i="7"/>
  <c r="AI62" i="7"/>
  <c r="U101" i="7"/>
  <c r="U62" i="7"/>
  <c r="C127" i="7"/>
  <c r="AB127" i="7"/>
  <c r="AB75" i="7"/>
  <c r="AE101" i="7"/>
  <c r="T75" i="7"/>
  <c r="P88" i="7"/>
  <c r="K127" i="7"/>
  <c r="T62" i="7"/>
  <c r="AD88" i="7"/>
  <c r="W88" i="7"/>
  <c r="E127" i="7"/>
  <c r="AD49" i="7"/>
  <c r="AC75" i="7"/>
  <c r="M127" i="7"/>
  <c r="F75" i="7"/>
  <c r="K88" i="7"/>
  <c r="P101" i="7"/>
  <c r="Y114" i="7"/>
  <c r="J114" i="7"/>
  <c r="Y49" i="7"/>
  <c r="AB101" i="7"/>
  <c r="Z88" i="7"/>
  <c r="K114" i="7"/>
  <c r="V101" i="7"/>
  <c r="V88" i="7"/>
  <c r="Q114" i="7"/>
  <c r="Q49" i="7"/>
  <c r="F127" i="7"/>
  <c r="X127" i="7"/>
  <c r="AD127" i="7"/>
  <c r="W127" i="7"/>
  <c r="O127" i="7"/>
  <c r="AF127" i="7"/>
  <c r="G127" i="7"/>
  <c r="AE127" i="7"/>
  <c r="P127" i="7"/>
  <c r="N127" i="7"/>
  <c r="H127" i="7"/>
  <c r="P89" i="7"/>
  <c r="P63" i="7"/>
  <c r="X50" i="7"/>
  <c r="E37" i="7"/>
  <c r="M37" i="7"/>
  <c r="U37" i="7"/>
  <c r="AC37" i="7"/>
  <c r="Y115" i="7"/>
  <c r="AH102" i="7"/>
  <c r="I63" i="7"/>
  <c r="F37" i="7"/>
  <c r="N37" i="7"/>
  <c r="V37" i="7"/>
  <c r="AD37" i="7"/>
  <c r="X76" i="7"/>
  <c r="H37" i="7"/>
  <c r="X37" i="7"/>
  <c r="Z115" i="7"/>
  <c r="AG102" i="7"/>
  <c r="G37" i="7"/>
  <c r="O37" i="7"/>
  <c r="W37" i="7"/>
  <c r="AE37" i="7"/>
  <c r="Q102" i="7"/>
  <c r="P37" i="7"/>
  <c r="AF37" i="7"/>
  <c r="Q63" i="7"/>
  <c r="D37" i="7"/>
  <c r="T37" i="7"/>
  <c r="C37" i="7"/>
  <c r="Q89" i="7"/>
  <c r="Z37" i="7"/>
  <c r="AG50" i="7"/>
  <c r="R37" i="7"/>
  <c r="I37" i="7"/>
  <c r="Y37" i="7"/>
  <c r="X115" i="7"/>
  <c r="J37" i="7"/>
  <c r="K37" i="7"/>
  <c r="AA37" i="7"/>
  <c r="AF50" i="7"/>
  <c r="L37" i="7"/>
  <c r="Q37" i="7"/>
  <c r="AB37" i="7"/>
  <c r="AG37" i="7"/>
  <c r="P102" i="7"/>
  <c r="AH63" i="7"/>
  <c r="S37" i="7"/>
  <c r="AI37" i="7"/>
  <c r="AH37" i="7"/>
  <c r="S50" i="7"/>
  <c r="X89" i="7"/>
  <c r="H63" i="7"/>
  <c r="F115" i="7"/>
  <c r="S63" i="7"/>
  <c r="M89" i="7"/>
  <c r="K102" i="7"/>
  <c r="H89" i="7"/>
  <c r="Y63" i="7"/>
  <c r="F89" i="7"/>
  <c r="D102" i="7"/>
  <c r="K115" i="7"/>
  <c r="AC128" i="7"/>
  <c r="AB76" i="7"/>
  <c r="F50" i="7"/>
  <c r="E63" i="7"/>
  <c r="E76" i="7"/>
  <c r="K128" i="7"/>
  <c r="R115" i="7"/>
  <c r="L50" i="7"/>
  <c r="J50" i="7"/>
  <c r="I76" i="7"/>
  <c r="G89" i="7"/>
  <c r="E102" i="7"/>
  <c r="S128" i="7"/>
  <c r="I128" i="7"/>
  <c r="AF63" i="7"/>
  <c r="J63" i="7"/>
  <c r="V115" i="7"/>
  <c r="AA63" i="7"/>
  <c r="U89" i="7"/>
  <c r="S102" i="7"/>
  <c r="AF128" i="7"/>
  <c r="H76" i="7"/>
  <c r="N89" i="7"/>
  <c r="L102" i="7"/>
  <c r="S115" i="7"/>
  <c r="V102" i="7"/>
  <c r="S76" i="7"/>
  <c r="U102" i="7"/>
  <c r="W128" i="7"/>
  <c r="AI128" i="7"/>
  <c r="AD128" i="7"/>
  <c r="E89" i="7"/>
  <c r="AI102" i="7"/>
  <c r="Z102" i="7"/>
  <c r="AB102" i="7"/>
  <c r="D63" i="7"/>
  <c r="L76" i="7"/>
  <c r="H115" i="7"/>
  <c r="O50" i="7"/>
  <c r="V63" i="7"/>
  <c r="AD76" i="7"/>
  <c r="AI89" i="7"/>
  <c r="AA128" i="7"/>
  <c r="W63" i="7"/>
  <c r="AE76" i="7"/>
  <c r="AH115" i="7"/>
  <c r="M76" i="7"/>
  <c r="Y102" i="7"/>
  <c r="AC76" i="7"/>
  <c r="K89" i="7"/>
  <c r="AB128" i="7"/>
  <c r="R63" i="7"/>
  <c r="V50" i="7"/>
  <c r="Z128" i="7"/>
  <c r="S89" i="7"/>
  <c r="G63" i="7"/>
  <c r="R76" i="7"/>
  <c r="O89" i="7"/>
  <c r="AC102" i="7"/>
  <c r="E128" i="7"/>
  <c r="T50" i="7"/>
  <c r="AG63" i="7"/>
  <c r="C63" i="7"/>
  <c r="AC89" i="7"/>
  <c r="V89" i="7"/>
  <c r="D128" i="7"/>
  <c r="G102" i="7"/>
  <c r="P115" i="7"/>
  <c r="G115" i="7"/>
  <c r="W50" i="7"/>
  <c r="AD63" i="7"/>
  <c r="M50" i="7"/>
  <c r="N102" i="7"/>
  <c r="H50" i="7"/>
  <c r="AE63" i="7"/>
  <c r="AE128" i="7"/>
  <c r="W89" i="7"/>
  <c r="X128" i="7"/>
  <c r="R102" i="7"/>
  <c r="K63" i="7"/>
  <c r="AA50" i="7"/>
  <c r="X63" i="7"/>
  <c r="M115" i="7"/>
  <c r="AD89" i="7"/>
  <c r="R128" i="7"/>
  <c r="I89" i="7"/>
  <c r="J89" i="7"/>
  <c r="O102" i="7"/>
  <c r="AF115" i="7"/>
  <c r="AB63" i="7"/>
  <c r="AE115" i="7"/>
  <c r="AE50" i="7"/>
  <c r="I115" i="7"/>
  <c r="P50" i="7"/>
  <c r="I102" i="7"/>
  <c r="AI63" i="7"/>
  <c r="N115" i="7"/>
  <c r="Y89" i="7"/>
  <c r="R89" i="7"/>
  <c r="Q115" i="7"/>
  <c r="AG76" i="7"/>
  <c r="AA115" i="7"/>
  <c r="J128" i="7"/>
  <c r="F128" i="7"/>
  <c r="T89" i="7"/>
  <c r="Q76" i="7"/>
  <c r="AE89" i="7"/>
  <c r="C50" i="7"/>
  <c r="AB50" i="7"/>
  <c r="K50" i="7"/>
  <c r="K76" i="7"/>
  <c r="L115" i="7"/>
  <c r="AC115" i="7"/>
  <c r="P76" i="7"/>
  <c r="E50" i="7"/>
  <c r="W102" i="7"/>
  <c r="Y128" i="7"/>
  <c r="L63" i="7"/>
  <c r="C128" i="7"/>
  <c r="C76" i="7"/>
  <c r="I50" i="7"/>
  <c r="F102" i="7"/>
  <c r="L128" i="7"/>
  <c r="X102" i="7"/>
  <c r="L89" i="7"/>
  <c r="H128" i="7"/>
  <c r="C102" i="7"/>
  <c r="T63" i="7"/>
  <c r="F63" i="7"/>
  <c r="Y76" i="7"/>
  <c r="AI50" i="7"/>
  <c r="AA76" i="7"/>
  <c r="D115" i="7"/>
  <c r="E115" i="7"/>
  <c r="AH76" i="7"/>
  <c r="AB115" i="7"/>
  <c r="AD115" i="7"/>
  <c r="AF76" i="7"/>
  <c r="C115" i="7"/>
  <c r="AC50" i="7"/>
  <c r="M63" i="7"/>
  <c r="U76" i="7"/>
  <c r="Z89" i="7"/>
  <c r="AE102" i="7"/>
  <c r="D76" i="7"/>
  <c r="C89" i="7"/>
  <c r="H102" i="7"/>
  <c r="AG115" i="7"/>
  <c r="O115" i="7"/>
  <c r="D89" i="7"/>
  <c r="Q128" i="7"/>
  <c r="AG128" i="7"/>
  <c r="R50" i="7"/>
  <c r="Z76" i="7"/>
  <c r="J76" i="7"/>
  <c r="T128" i="7"/>
  <c r="T115" i="7"/>
  <c r="U115" i="7"/>
  <c r="D50" i="7"/>
  <c r="U63" i="7"/>
  <c r="AH89" i="7"/>
  <c r="F76" i="7"/>
  <c r="G76" i="7"/>
  <c r="Z50" i="7"/>
  <c r="AI115" i="7"/>
  <c r="AC63" i="7"/>
  <c r="AF102" i="7"/>
  <c r="O76" i="7"/>
  <c r="AH50" i="7"/>
  <c r="M102" i="7"/>
  <c r="AF89" i="7"/>
  <c r="P128" i="7"/>
  <c r="G128" i="7"/>
  <c r="U128" i="7"/>
  <c r="Z63" i="7"/>
  <c r="AA102" i="7"/>
  <c r="O128" i="7"/>
  <c r="N128" i="7"/>
  <c r="J102" i="7"/>
  <c r="Y50" i="7"/>
  <c r="T102" i="7"/>
  <c r="AD50" i="7"/>
  <c r="U50" i="7"/>
  <c r="AD102" i="7"/>
  <c r="G50" i="7"/>
  <c r="N63" i="7"/>
  <c r="V76" i="7"/>
  <c r="AA89" i="7"/>
  <c r="M128" i="7"/>
  <c r="AG89" i="7"/>
  <c r="O63" i="7"/>
  <c r="W76" i="7"/>
  <c r="AB89" i="7"/>
  <c r="J115" i="7"/>
  <c r="N50" i="7"/>
  <c r="T76" i="7"/>
  <c r="AI76" i="7"/>
  <c r="Q50" i="7"/>
  <c r="W115" i="7"/>
  <c r="N76" i="7"/>
  <c r="V128" i="7"/>
  <c r="AJ128" i="7" l="1"/>
  <c r="B132" i="7" s="1"/>
  <c r="AJ89" i="7"/>
  <c r="B93" i="7" s="1"/>
  <c r="AJ37" i="7"/>
  <c r="B41" i="7" s="1"/>
  <c r="AJ36" i="7"/>
  <c r="B40" i="7" s="1"/>
  <c r="C40" i="7" s="1"/>
  <c r="AJ114" i="7"/>
  <c r="B118" i="7" s="1"/>
  <c r="AJ101" i="7"/>
  <c r="B105" i="7" s="1"/>
  <c r="AJ102" i="7"/>
  <c r="B106" i="7" s="1"/>
  <c r="AJ63" i="7"/>
  <c r="B67" i="7" s="1"/>
  <c r="AJ75" i="7"/>
  <c r="B79" i="7" s="1"/>
  <c r="AJ49" i="7"/>
  <c r="B53" i="7" s="1"/>
  <c r="AJ88" i="7"/>
  <c r="B92" i="7" s="1"/>
  <c r="AJ127" i="7"/>
  <c r="B131" i="7" s="1"/>
  <c r="C131" i="7" s="1"/>
  <c r="AJ50" i="7"/>
  <c r="B54" i="7" s="1"/>
  <c r="AJ76" i="7"/>
  <c r="B80" i="7" s="1"/>
  <c r="AJ115" i="7"/>
  <c r="B119" i="7" s="1"/>
  <c r="AJ62" i="7"/>
  <c r="B66" i="7" s="1"/>
  <c r="C92" i="7" l="1"/>
  <c r="C118" i="7"/>
  <c r="C53" i="7"/>
  <c r="C79" i="7"/>
  <c r="C66" i="7"/>
  <c r="C105" i="7"/>
</calcChain>
</file>

<file path=xl/sharedStrings.xml><?xml version="1.0" encoding="utf-8"?>
<sst xmlns="http://schemas.openxmlformats.org/spreadsheetml/2006/main" count="1281" uniqueCount="130">
  <si>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</si>
  <si>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</si>
  <si>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</si>
  <si>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</si>
  <si>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</si>
  <si>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</si>
  <si>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</si>
  <si>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</si>
  <si>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</si>
  <si>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</si>
  <si>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</si>
  <si>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</si>
  <si>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</si>
  <si>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</si>
  <si>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</si>
  <si>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</si>
  <si>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</si>
  <si>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</si>
  <si>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</si>
  <si>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</si>
  <si>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</si>
  <si>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</si>
  <si>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</si>
  <si>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</si>
  <si>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</si>
  <si>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</si>
  <si>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</si>
  <si>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</si>
  <si>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</si>
  <si>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</si>
  <si>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</si>
  <si>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</si>
  <si>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</si>
  <si>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STATUS</t>
  </si>
  <si>
    <t>YES</t>
  </si>
  <si>
    <t>NO</t>
  </si>
  <si>
    <t>HO: 60% : 40 % yaitu 60% data treining dan 40% data testing. Menggunakan linear sampling</t>
  </si>
  <si>
    <t>?</t>
  </si>
  <si>
    <t xml:space="preserve">Probabilitas </t>
  </si>
  <si>
    <t>Total Data</t>
  </si>
  <si>
    <t>Probabilitas Kelas</t>
  </si>
  <si>
    <t>P(X)</t>
  </si>
  <si>
    <t>No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</si>
  <si>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</si>
  <si>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</si>
  <si>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</si>
  <si>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</si>
  <si>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</si>
  <si>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</si>
  <si>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</si>
  <si>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</si>
  <si>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</si>
  <si>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</si>
  <si>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P(X|CI)</t>
  </si>
  <si>
    <t>Atribut</t>
  </si>
  <si>
    <t>Yes</t>
  </si>
  <si>
    <t>(P(X|H) * P(H)) / P(X)</t>
  </si>
  <si>
    <t>NEW KELAS</t>
  </si>
  <si>
    <t>Sum Kasus</t>
  </si>
  <si>
    <t>Entropy</t>
  </si>
  <si>
    <t>Information Gain</t>
  </si>
  <si>
    <t>Split Info</t>
  </si>
  <si>
    <t>Gain Ratio</t>
  </si>
  <si>
    <t>Node 1</t>
  </si>
  <si>
    <t>Kategori</t>
  </si>
  <si>
    <t>Status bangunan</t>
  </si>
  <si>
    <t>Status lahan</t>
  </si>
  <si>
    <t>Anggota ART</t>
  </si>
  <si>
    <t xml:space="preserve"> Jenis Lantai</t>
  </si>
  <si>
    <t>Jenis Dinding</t>
  </si>
  <si>
    <t>Kondisi Dinding</t>
  </si>
  <si>
    <t>Jenis Atap</t>
  </si>
  <si>
    <t>Kondisi Atap</t>
  </si>
  <si>
    <t>Jumlah Kamar Tidur</t>
  </si>
  <si>
    <t>Sumber Air Minum</t>
  </si>
  <si>
    <t>Sumber Penerangan</t>
  </si>
  <si>
    <t>Daya Terpasang</t>
  </si>
  <si>
    <t>Bahan Bakar Masak</t>
  </si>
  <si>
    <t>Fasilitas BAB</t>
  </si>
  <si>
    <t>Jenis Kloset</t>
  </si>
  <si>
    <t>Pembuangan Tinja</t>
  </si>
  <si>
    <t xml:space="preserve">Tabung Gas </t>
  </si>
  <si>
    <t>Lemari Es</t>
  </si>
  <si>
    <t>AC</t>
  </si>
  <si>
    <t>Pemanas Air</t>
  </si>
  <si>
    <t>Telepon Rumah</t>
  </si>
  <si>
    <t>Televisi</t>
  </si>
  <si>
    <t>Emas</t>
  </si>
  <si>
    <t>Komputer/Laptop</t>
  </si>
  <si>
    <t>Sepeda</t>
  </si>
  <si>
    <t>Sepeda Motor</t>
  </si>
  <si>
    <t>Mobil</t>
  </si>
  <si>
    <t>Perahu</t>
  </si>
  <si>
    <t>Motor Tempel</t>
  </si>
  <si>
    <t>Kapal</t>
  </si>
  <si>
    <t>Aset Tidak Bergerak</t>
  </si>
  <si>
    <t>Rumah Ditempat Lain</t>
  </si>
  <si>
    <t>Status ART Usaha</t>
  </si>
  <si>
    <t>KELAS ASAL</t>
  </si>
  <si>
    <t>PRED</t>
  </si>
  <si>
    <t>PREDIKSI</t>
  </si>
  <si>
    <t>DU1</t>
  </si>
  <si>
    <t>JARAK</t>
  </si>
  <si>
    <t>URUTAN</t>
  </si>
  <si>
    <t>KELAS</t>
  </si>
  <si>
    <t>DU 2</t>
  </si>
  <si>
    <t>DU3</t>
  </si>
  <si>
    <t>UTUTAN</t>
  </si>
  <si>
    <t>DU4</t>
  </si>
  <si>
    <t>DU5</t>
  </si>
  <si>
    <t>DU6</t>
  </si>
  <si>
    <t>DU7</t>
  </si>
  <si>
    <t>DU8</t>
  </si>
  <si>
    <t>CONFLUSION MATRIX</t>
  </si>
  <si>
    <t>PRECISION</t>
  </si>
  <si>
    <t>RECALL</t>
  </si>
  <si>
    <t>AKURASI</t>
  </si>
  <si>
    <t>K=3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</si>
  <si>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</si>
  <si>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</si>
  <si>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</si>
  <si>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</si>
  <si>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</si>
  <si>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</si>
  <si>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</si>
  <si>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</si>
  <si>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</si>
  <si>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</si>
  <si>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NBC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</si>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</sst>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C52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3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4" borderId="0" xfId="0" applyFont="1" applyFill="1"/>
    <xf numFmtId="0" fontId="0" fillId="0" borderId="0" xfId="0" applyAlignment="1">
      <alignment horizont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3" xfId="0" applyFont="1" applyBorder="1"/>
    <xf numFmtId="0" fontId="0" fillId="0" borderId="3" xfId="0" applyBorder="1"/>
    <xf numFmtId="165" fontId="0" fillId="0" borderId="3" xfId="0" applyNumberFormat="1" applyBorder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vertical="center" wrapText="1"/>
    </xf>
    <xf numFmtId="164" fontId="0" fillId="7" borderId="0" xfId="0" applyNumberFormat="1" applyFill="1"/>
    <xf numFmtId="164" fontId="0" fillId="7" borderId="0" xfId="0" applyNumberFormat="1" applyFill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center"/>
    </xf>
    <xf numFmtId="164" fontId="0" fillId="11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0" fillId="9" borderId="3" xfId="0" applyNumberFormat="1" applyFill="1" applyBorder="1" applyAlignment="1">
      <alignment horizontal="center" vertical="center" wrapText="1"/>
    </xf>
    <xf numFmtId="0" fontId="0" fillId="10" borderId="3" xfId="0" applyFill="1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9" fontId="0" fillId="12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164" fontId="0" fillId="10" borderId="3" xfId="0" applyNumberFormat="1" applyFill="1" applyBorder="1" applyAlignment="1">
      <alignment horizontal="center" vertical="center" wrapText="1"/>
    </xf>
    <xf numFmtId="164" fontId="1" fillId="11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 vertical="center" wrapText="1"/>
    </xf>
    <xf numFmtId="164" fontId="0" fillId="0" borderId="0" xfId="0" applyNumberFormat="1"/>
    <xf numFmtId="164" fontId="1" fillId="3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9" fontId="0" fillId="12" borderId="3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1" fontId="0" fillId="13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99FFCC"/>
      <color rgb="FFC5C529"/>
      <color rgb="FF6C826D"/>
      <color rgb="FFCDD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zoomScaleNormal="100" workbookViewId="0">
      <selection activeCell="M24" sqref="M24"/>
    </sheetView>
  </sheetViews>
  <sheetFormatPr defaultRowHeight="15" x14ac:dyDescent="0.25"/>
  <sheetData>
    <row r="1" spans="1:35" x14ac:dyDescent="0.25">
      <c r="A1" s="4" t="s">
        <v>129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39" t="s">
        <v>42</v>
      </c>
    </row>
    <row r="2" spans="1:35" x14ac:dyDescent="0.25">
      <c r="A2" s="20" t="s">
        <v>34</v>
      </c>
      <c r="B2" s="20">
        <v>4</v>
      </c>
      <c r="C2" s="20">
        <v>1</v>
      </c>
      <c r="D2" s="20">
        <v>1</v>
      </c>
      <c r="E2" s="20">
        <v>6</v>
      </c>
      <c r="F2" s="20">
        <v>1</v>
      </c>
      <c r="G2" s="20">
        <v>2</v>
      </c>
      <c r="H2" s="20">
        <v>6</v>
      </c>
      <c r="I2" s="20">
        <v>2</v>
      </c>
      <c r="J2" s="20">
        <v>3</v>
      </c>
      <c r="K2" s="20">
        <v>5</v>
      </c>
      <c r="L2" s="20">
        <v>1</v>
      </c>
      <c r="M2" s="20">
        <v>2</v>
      </c>
      <c r="N2" s="20">
        <v>3</v>
      </c>
      <c r="O2" s="20">
        <v>1</v>
      </c>
      <c r="P2" s="20">
        <v>1</v>
      </c>
      <c r="Q2" s="20">
        <v>1</v>
      </c>
      <c r="R2" s="20">
        <v>2</v>
      </c>
      <c r="S2" s="20">
        <v>4</v>
      </c>
      <c r="T2" s="20">
        <v>2</v>
      </c>
      <c r="U2" s="20">
        <v>4</v>
      </c>
      <c r="V2" s="20">
        <v>2</v>
      </c>
      <c r="W2" s="20">
        <v>3</v>
      </c>
      <c r="X2" s="20">
        <v>2</v>
      </c>
      <c r="Y2" s="20">
        <v>4</v>
      </c>
      <c r="Z2" s="20">
        <v>2</v>
      </c>
      <c r="AA2" s="20">
        <v>3</v>
      </c>
      <c r="AB2" s="20">
        <v>2</v>
      </c>
      <c r="AC2" s="20">
        <v>4</v>
      </c>
      <c r="AD2" s="20">
        <v>2</v>
      </c>
      <c r="AE2" s="20">
        <v>4</v>
      </c>
      <c r="AF2" s="20">
        <v>1</v>
      </c>
      <c r="AG2" s="20">
        <v>4</v>
      </c>
      <c r="AH2" s="20">
        <v>2</v>
      </c>
      <c r="AI2" s="20" t="s">
        <v>43</v>
      </c>
    </row>
    <row r="3" spans="1:35" x14ac:dyDescent="0.25">
      <c r="A3" s="20" t="s">
        <v>35</v>
      </c>
      <c r="B3" s="20">
        <v>3</v>
      </c>
      <c r="C3" s="20">
        <v>2</v>
      </c>
      <c r="D3" s="20">
        <v>2</v>
      </c>
      <c r="E3" s="20">
        <v>2</v>
      </c>
      <c r="F3" s="20">
        <v>1</v>
      </c>
      <c r="G3" s="20">
        <v>1</v>
      </c>
      <c r="H3" s="20">
        <v>6</v>
      </c>
      <c r="I3" s="20">
        <v>1</v>
      </c>
      <c r="J3" s="20">
        <v>2</v>
      </c>
      <c r="K3" s="20">
        <v>2</v>
      </c>
      <c r="L3" s="20">
        <v>1</v>
      </c>
      <c r="M3" s="20">
        <v>2</v>
      </c>
      <c r="N3" s="20">
        <v>3</v>
      </c>
      <c r="O3" s="20">
        <v>1</v>
      </c>
      <c r="P3" s="20">
        <v>1</v>
      </c>
      <c r="Q3" s="20">
        <v>1</v>
      </c>
      <c r="R3" s="20">
        <v>2</v>
      </c>
      <c r="S3" s="20">
        <v>3</v>
      </c>
      <c r="T3" s="20">
        <v>2</v>
      </c>
      <c r="U3" s="20">
        <v>4</v>
      </c>
      <c r="V3" s="20">
        <v>2</v>
      </c>
      <c r="W3" s="20">
        <v>3</v>
      </c>
      <c r="X3" s="20">
        <v>2</v>
      </c>
      <c r="Y3" s="20">
        <v>4</v>
      </c>
      <c r="Z3" s="20">
        <v>2</v>
      </c>
      <c r="AA3" s="20">
        <v>3</v>
      </c>
      <c r="AB3" s="20">
        <v>2</v>
      </c>
      <c r="AC3" s="20">
        <v>4</v>
      </c>
      <c r="AD3" s="20">
        <v>2</v>
      </c>
      <c r="AE3" s="20">
        <v>4</v>
      </c>
      <c r="AF3" s="20">
        <v>2</v>
      </c>
      <c r="AG3" s="20">
        <v>4</v>
      </c>
      <c r="AH3" s="20">
        <v>1</v>
      </c>
      <c r="AI3" s="20" t="s">
        <v>44</v>
      </c>
    </row>
    <row r="4" spans="1:35" x14ac:dyDescent="0.25">
      <c r="A4" s="20" t="s">
        <v>35</v>
      </c>
      <c r="B4" s="20">
        <v>5</v>
      </c>
      <c r="C4" s="20">
        <v>2</v>
      </c>
      <c r="D4" s="20">
        <v>1.7435897435897401</v>
      </c>
      <c r="E4" s="20">
        <v>6</v>
      </c>
      <c r="F4" s="20">
        <v>7</v>
      </c>
      <c r="G4" s="20">
        <v>1.83544303797468</v>
      </c>
      <c r="H4" s="20">
        <v>10</v>
      </c>
      <c r="I4" s="20">
        <v>1.84810126582278</v>
      </c>
      <c r="J4" s="20">
        <v>2</v>
      </c>
      <c r="K4" s="20">
        <v>7</v>
      </c>
      <c r="L4" s="20">
        <v>2</v>
      </c>
      <c r="M4" s="20">
        <v>2.3108108108108101</v>
      </c>
      <c r="N4" s="20">
        <v>3</v>
      </c>
      <c r="O4" s="20">
        <v>4</v>
      </c>
      <c r="P4" s="20">
        <v>1.15189873417721</v>
      </c>
      <c r="Q4" s="20">
        <v>3</v>
      </c>
      <c r="R4" s="20">
        <v>2</v>
      </c>
      <c r="S4" s="20">
        <v>4</v>
      </c>
      <c r="T4" s="20">
        <v>2</v>
      </c>
      <c r="U4" s="20">
        <v>4</v>
      </c>
      <c r="V4" s="20">
        <v>2</v>
      </c>
      <c r="W4" s="20">
        <v>4</v>
      </c>
      <c r="X4" s="20">
        <v>2</v>
      </c>
      <c r="Y4" s="20">
        <v>4</v>
      </c>
      <c r="Z4" s="20">
        <v>2</v>
      </c>
      <c r="AA4" s="20">
        <v>4</v>
      </c>
      <c r="AB4" s="20">
        <v>2</v>
      </c>
      <c r="AC4" s="20">
        <v>4</v>
      </c>
      <c r="AD4" s="20">
        <v>2</v>
      </c>
      <c r="AE4" s="20">
        <v>4</v>
      </c>
      <c r="AF4" s="20">
        <v>2</v>
      </c>
      <c r="AG4" s="20">
        <v>4</v>
      </c>
      <c r="AH4" s="20">
        <v>2</v>
      </c>
      <c r="AI4" s="20" t="s">
        <v>45</v>
      </c>
    </row>
    <row r="5" spans="1:35" x14ac:dyDescent="0.25">
      <c r="A5" s="20" t="s">
        <v>35</v>
      </c>
      <c r="B5" s="20">
        <v>4</v>
      </c>
      <c r="C5" s="20">
        <v>1</v>
      </c>
      <c r="D5" s="20">
        <v>1</v>
      </c>
      <c r="E5" s="20">
        <v>8</v>
      </c>
      <c r="F5" s="20">
        <v>3</v>
      </c>
      <c r="G5" s="20">
        <v>2</v>
      </c>
      <c r="H5" s="20">
        <v>6</v>
      </c>
      <c r="I5" s="20">
        <v>2</v>
      </c>
      <c r="J5" s="20">
        <v>3</v>
      </c>
      <c r="K5" s="20">
        <v>11</v>
      </c>
      <c r="L5" s="20">
        <v>1</v>
      </c>
      <c r="M5" s="20">
        <v>1</v>
      </c>
      <c r="N5" s="20">
        <v>5</v>
      </c>
      <c r="O5" s="20">
        <v>1</v>
      </c>
      <c r="P5" s="20">
        <v>1</v>
      </c>
      <c r="Q5" s="20">
        <v>1</v>
      </c>
      <c r="R5" s="20">
        <v>2</v>
      </c>
      <c r="S5" s="20">
        <v>4</v>
      </c>
      <c r="T5" s="20">
        <v>2</v>
      </c>
      <c r="U5" s="20">
        <v>4</v>
      </c>
      <c r="V5" s="20">
        <v>2</v>
      </c>
      <c r="W5" s="20">
        <v>3</v>
      </c>
      <c r="X5" s="20">
        <v>2</v>
      </c>
      <c r="Y5" s="20">
        <v>4</v>
      </c>
      <c r="Z5" s="20">
        <v>1</v>
      </c>
      <c r="AA5" s="20">
        <v>4</v>
      </c>
      <c r="AB5" s="20">
        <v>2</v>
      </c>
      <c r="AC5" s="20">
        <v>4</v>
      </c>
      <c r="AD5" s="20">
        <v>2</v>
      </c>
      <c r="AE5" s="20">
        <v>4</v>
      </c>
      <c r="AF5" s="20">
        <v>1</v>
      </c>
      <c r="AG5" s="20">
        <v>4</v>
      </c>
      <c r="AH5" s="20">
        <v>2</v>
      </c>
      <c r="AI5" s="20" t="s">
        <v>46</v>
      </c>
    </row>
    <row r="6" spans="1:35" x14ac:dyDescent="0.25">
      <c r="A6" s="20" t="s">
        <v>34</v>
      </c>
      <c r="B6" s="20">
        <v>5</v>
      </c>
      <c r="C6" s="20">
        <v>2</v>
      </c>
      <c r="D6" s="20">
        <v>2</v>
      </c>
      <c r="E6" s="20">
        <v>6</v>
      </c>
      <c r="F6" s="20">
        <v>1</v>
      </c>
      <c r="G6" s="20">
        <v>2</v>
      </c>
      <c r="H6" s="20">
        <v>6</v>
      </c>
      <c r="I6" s="20">
        <v>2</v>
      </c>
      <c r="J6" s="20">
        <v>1</v>
      </c>
      <c r="K6" s="20">
        <v>2</v>
      </c>
      <c r="L6" s="20">
        <v>1</v>
      </c>
      <c r="M6" s="20">
        <v>1</v>
      </c>
      <c r="N6" s="20">
        <v>5</v>
      </c>
      <c r="O6" s="20">
        <v>1</v>
      </c>
      <c r="P6" s="20">
        <v>1</v>
      </c>
      <c r="Q6" s="20">
        <v>1</v>
      </c>
      <c r="R6" s="20">
        <v>2</v>
      </c>
      <c r="S6" s="20">
        <v>3</v>
      </c>
      <c r="T6" s="20">
        <v>2</v>
      </c>
      <c r="U6" s="20">
        <v>4</v>
      </c>
      <c r="V6" s="20">
        <v>2</v>
      </c>
      <c r="W6" s="20">
        <v>3</v>
      </c>
      <c r="X6" s="20">
        <v>2</v>
      </c>
      <c r="Y6" s="20">
        <v>4</v>
      </c>
      <c r="Z6" s="20">
        <v>2</v>
      </c>
      <c r="AA6" s="20">
        <v>3</v>
      </c>
      <c r="AB6" s="20">
        <v>2</v>
      </c>
      <c r="AC6" s="20">
        <v>4</v>
      </c>
      <c r="AD6" s="20">
        <v>2</v>
      </c>
      <c r="AE6" s="20">
        <v>4</v>
      </c>
      <c r="AF6" s="20">
        <v>2</v>
      </c>
      <c r="AG6" s="20">
        <v>4</v>
      </c>
      <c r="AH6" s="20">
        <v>2</v>
      </c>
      <c r="AI6" s="20" t="s">
        <v>47</v>
      </c>
    </row>
    <row r="7" spans="1:35" x14ac:dyDescent="0.25">
      <c r="A7" s="20" t="s">
        <v>35</v>
      </c>
      <c r="B7" s="20">
        <v>5</v>
      </c>
      <c r="C7" s="20">
        <v>2</v>
      </c>
      <c r="D7" s="20">
        <v>2</v>
      </c>
      <c r="E7" s="20">
        <v>6</v>
      </c>
      <c r="F7" s="20">
        <v>1</v>
      </c>
      <c r="G7" s="20">
        <v>2</v>
      </c>
      <c r="H7" s="20">
        <v>6</v>
      </c>
      <c r="I7" s="20">
        <v>2</v>
      </c>
      <c r="J7" s="20">
        <v>1</v>
      </c>
      <c r="K7" s="20">
        <v>2</v>
      </c>
      <c r="L7" s="20">
        <v>1</v>
      </c>
      <c r="M7" s="20">
        <v>2</v>
      </c>
      <c r="N7" s="20">
        <v>2</v>
      </c>
      <c r="O7" s="20">
        <v>1</v>
      </c>
      <c r="P7" s="20">
        <v>1</v>
      </c>
      <c r="Q7" s="20">
        <v>1</v>
      </c>
      <c r="R7" s="20">
        <v>1</v>
      </c>
      <c r="S7" s="20">
        <v>3</v>
      </c>
      <c r="T7" s="20">
        <v>2</v>
      </c>
      <c r="U7" s="20">
        <v>4</v>
      </c>
      <c r="V7" s="20">
        <v>2</v>
      </c>
      <c r="W7" s="20">
        <v>3</v>
      </c>
      <c r="X7" s="20">
        <v>2</v>
      </c>
      <c r="Y7" s="20">
        <v>4</v>
      </c>
      <c r="Z7" s="20">
        <v>1</v>
      </c>
      <c r="AA7" s="20">
        <v>3</v>
      </c>
      <c r="AB7" s="20">
        <v>2</v>
      </c>
      <c r="AC7" s="20">
        <v>4</v>
      </c>
      <c r="AD7" s="20">
        <v>2</v>
      </c>
      <c r="AE7" s="20">
        <v>4</v>
      </c>
      <c r="AF7" s="20">
        <v>2</v>
      </c>
      <c r="AG7" s="20">
        <v>4</v>
      </c>
      <c r="AH7" s="20">
        <v>1</v>
      </c>
      <c r="AI7" s="20" t="s">
        <v>48</v>
      </c>
    </row>
    <row r="8" spans="1:35" x14ac:dyDescent="0.25">
      <c r="A8" s="20" t="s">
        <v>35</v>
      </c>
      <c r="B8" s="20">
        <v>5</v>
      </c>
      <c r="C8" s="20">
        <v>1</v>
      </c>
      <c r="D8" s="20">
        <v>1</v>
      </c>
      <c r="E8" s="20">
        <v>8</v>
      </c>
      <c r="F8" s="20">
        <v>3</v>
      </c>
      <c r="G8" s="20">
        <v>2</v>
      </c>
      <c r="H8" s="20">
        <v>6</v>
      </c>
      <c r="I8" s="20">
        <v>2</v>
      </c>
      <c r="J8" s="20">
        <v>4</v>
      </c>
      <c r="K8" s="20">
        <v>2</v>
      </c>
      <c r="L8" s="20">
        <v>1</v>
      </c>
      <c r="M8" s="20">
        <v>6</v>
      </c>
      <c r="N8" s="20">
        <v>3</v>
      </c>
      <c r="O8" s="20">
        <v>1</v>
      </c>
      <c r="P8" s="20">
        <v>1</v>
      </c>
      <c r="Q8" s="20">
        <v>1</v>
      </c>
      <c r="R8" s="20">
        <v>2</v>
      </c>
      <c r="S8" s="20">
        <v>4</v>
      </c>
      <c r="T8" s="20">
        <v>2</v>
      </c>
      <c r="U8" s="20">
        <v>4</v>
      </c>
      <c r="V8" s="20">
        <v>2</v>
      </c>
      <c r="W8" s="20">
        <v>3</v>
      </c>
      <c r="X8" s="20">
        <v>2</v>
      </c>
      <c r="Y8" s="20">
        <v>4</v>
      </c>
      <c r="Z8" s="20">
        <v>2</v>
      </c>
      <c r="AA8" s="20">
        <v>4</v>
      </c>
      <c r="AB8" s="20">
        <v>2</v>
      </c>
      <c r="AC8" s="20">
        <v>4</v>
      </c>
      <c r="AD8" s="20">
        <v>2</v>
      </c>
      <c r="AE8" s="20">
        <v>4</v>
      </c>
      <c r="AF8" s="20">
        <v>1</v>
      </c>
      <c r="AG8" s="20">
        <v>4</v>
      </c>
      <c r="AH8" s="20">
        <v>1</v>
      </c>
      <c r="AI8" s="20" t="s">
        <v>49</v>
      </c>
    </row>
    <row r="9" spans="1:35" x14ac:dyDescent="0.25">
      <c r="A9" s="20" t="s">
        <v>35</v>
      </c>
      <c r="B9" s="20">
        <v>6</v>
      </c>
      <c r="C9" s="20">
        <v>1</v>
      </c>
      <c r="D9" s="20">
        <v>4</v>
      </c>
      <c r="E9" s="20">
        <v>8</v>
      </c>
      <c r="F9" s="20">
        <v>3</v>
      </c>
      <c r="G9" s="20">
        <v>2</v>
      </c>
      <c r="H9" s="20">
        <v>6</v>
      </c>
      <c r="I9" s="20">
        <v>2</v>
      </c>
      <c r="J9" s="20">
        <v>2</v>
      </c>
      <c r="K9" s="20">
        <v>2</v>
      </c>
      <c r="L9" s="20">
        <v>1</v>
      </c>
      <c r="M9" s="20">
        <v>2</v>
      </c>
      <c r="N9" s="20">
        <v>3</v>
      </c>
      <c r="O9" s="20">
        <v>1</v>
      </c>
      <c r="P9" s="20">
        <v>1</v>
      </c>
      <c r="Q9" s="20">
        <v>1</v>
      </c>
      <c r="R9" s="20">
        <v>2</v>
      </c>
      <c r="S9" s="20">
        <v>3</v>
      </c>
      <c r="T9" s="20">
        <v>2</v>
      </c>
      <c r="U9" s="20">
        <v>4</v>
      </c>
      <c r="V9" s="20">
        <v>2</v>
      </c>
      <c r="W9" s="20">
        <v>3</v>
      </c>
      <c r="X9" s="20">
        <v>2</v>
      </c>
      <c r="Y9" s="20">
        <v>4</v>
      </c>
      <c r="Z9" s="20">
        <v>2</v>
      </c>
      <c r="AA9" s="20">
        <v>3</v>
      </c>
      <c r="AB9" s="20">
        <v>2</v>
      </c>
      <c r="AC9" s="20">
        <v>4</v>
      </c>
      <c r="AD9" s="20">
        <v>2</v>
      </c>
      <c r="AE9" s="20">
        <v>4</v>
      </c>
      <c r="AF9" s="20">
        <v>2</v>
      </c>
      <c r="AG9" s="20">
        <v>4</v>
      </c>
      <c r="AH9" s="20">
        <v>1</v>
      </c>
      <c r="AI9" s="20" t="s">
        <v>50</v>
      </c>
    </row>
    <row r="10" spans="1:35" x14ac:dyDescent="0.25">
      <c r="A10" s="20" t="s">
        <v>35</v>
      </c>
      <c r="B10" s="20">
        <v>2</v>
      </c>
      <c r="C10" s="20">
        <v>1.55</v>
      </c>
      <c r="D10" s="20">
        <v>1.7435897435897401</v>
      </c>
      <c r="E10" s="20">
        <v>5.0250000000000004</v>
      </c>
      <c r="F10" s="20">
        <v>1.625</v>
      </c>
      <c r="G10" s="20">
        <v>1.83544303797468</v>
      </c>
      <c r="H10" s="20">
        <v>5.9874999999999998</v>
      </c>
      <c r="I10" s="20">
        <v>1.84810126582278</v>
      </c>
      <c r="J10" s="20">
        <v>2.1139240506329098</v>
      </c>
      <c r="K10" s="20">
        <v>3.1749999999999998</v>
      </c>
      <c r="L10" s="20">
        <v>1.1000000000000001</v>
      </c>
      <c r="M10" s="20">
        <v>2.3108108108108101</v>
      </c>
      <c r="N10" s="20">
        <v>3.0625</v>
      </c>
      <c r="O10" s="20">
        <v>1.2250000000000001</v>
      </c>
      <c r="P10" s="20">
        <v>1.15189873417721</v>
      </c>
      <c r="Q10" s="20">
        <v>1.4</v>
      </c>
      <c r="R10" s="20">
        <v>1.93827160493827</v>
      </c>
      <c r="S10" s="20">
        <v>3.3827160493827102</v>
      </c>
      <c r="T10" s="20">
        <v>1.9629629629629599</v>
      </c>
      <c r="U10" s="20">
        <v>4</v>
      </c>
      <c r="V10" s="20">
        <v>2</v>
      </c>
      <c r="W10" s="20">
        <v>3.1234567901234498</v>
      </c>
      <c r="X10" s="20">
        <v>1.9629629629629599</v>
      </c>
      <c r="Y10" s="20">
        <v>3.95061728395061</v>
      </c>
      <c r="Z10" s="20">
        <v>1.75308641975308</v>
      </c>
      <c r="AA10" s="20">
        <v>3.3580246913580201</v>
      </c>
      <c r="AB10" s="20">
        <v>1.98765432098765</v>
      </c>
      <c r="AC10" s="20">
        <v>4</v>
      </c>
      <c r="AD10" s="20">
        <v>1.9753086419753001</v>
      </c>
      <c r="AE10" s="20">
        <v>4</v>
      </c>
      <c r="AF10" s="20">
        <v>1.4624999999999999</v>
      </c>
      <c r="AG10" s="20">
        <v>4</v>
      </c>
      <c r="AH10" s="20">
        <v>1.7922077922077899</v>
      </c>
      <c r="AI10" s="20" t="s">
        <v>51</v>
      </c>
    </row>
    <row r="11" spans="1:35" x14ac:dyDescent="0.25">
      <c r="A11" s="20" t="s">
        <v>34</v>
      </c>
      <c r="B11" s="20">
        <v>3</v>
      </c>
      <c r="C11" s="20">
        <v>1.55</v>
      </c>
      <c r="D11" s="20">
        <v>1.7435897435897401</v>
      </c>
      <c r="E11" s="20">
        <v>5.0250000000000004</v>
      </c>
      <c r="F11" s="20">
        <v>1.625</v>
      </c>
      <c r="G11" s="20">
        <v>1.83544303797468</v>
      </c>
      <c r="H11" s="20">
        <v>5.9874999999999998</v>
      </c>
      <c r="I11" s="20">
        <v>1.84810126582278</v>
      </c>
      <c r="J11" s="20">
        <v>2.1139240506329098</v>
      </c>
      <c r="K11" s="20">
        <v>3.1749999999999998</v>
      </c>
      <c r="L11" s="20">
        <v>1.1000000000000001</v>
      </c>
      <c r="M11" s="20">
        <v>2.3108108108108101</v>
      </c>
      <c r="N11" s="20">
        <v>3.0625</v>
      </c>
      <c r="O11" s="20">
        <v>1.2250000000000001</v>
      </c>
      <c r="P11" s="20">
        <v>1.15189873417721</v>
      </c>
      <c r="Q11" s="20">
        <v>1.4</v>
      </c>
      <c r="R11" s="20">
        <v>1.93827160493827</v>
      </c>
      <c r="S11" s="20">
        <v>3.3827160493827102</v>
      </c>
      <c r="T11" s="20">
        <v>1.9629629629629599</v>
      </c>
      <c r="U11" s="20">
        <v>4</v>
      </c>
      <c r="V11" s="20">
        <v>2</v>
      </c>
      <c r="W11" s="20">
        <v>3.1234567901234498</v>
      </c>
      <c r="X11" s="20">
        <v>1.9629629629629599</v>
      </c>
      <c r="Y11" s="20">
        <v>3.95061728395061</v>
      </c>
      <c r="Z11" s="20">
        <v>1.75308641975308</v>
      </c>
      <c r="AA11" s="20">
        <v>3.3580246913580201</v>
      </c>
      <c r="AB11" s="20">
        <v>1.98765432098765</v>
      </c>
      <c r="AC11" s="20">
        <v>4</v>
      </c>
      <c r="AD11" s="20">
        <v>1.9753086419753001</v>
      </c>
      <c r="AE11" s="20">
        <v>4</v>
      </c>
      <c r="AF11" s="20">
        <v>1.4624999999999999</v>
      </c>
      <c r="AG11" s="20">
        <v>4</v>
      </c>
      <c r="AH11" s="20">
        <v>1.7922077922077899</v>
      </c>
      <c r="AI11" s="20" t="s">
        <v>52</v>
      </c>
    </row>
    <row r="12" spans="1:35" x14ac:dyDescent="0.25">
      <c r="A12" s="20" t="s">
        <v>34</v>
      </c>
      <c r="B12" s="20">
        <v>7</v>
      </c>
      <c r="C12" s="20">
        <v>1</v>
      </c>
      <c r="D12" s="20">
        <v>1</v>
      </c>
      <c r="E12" s="20">
        <v>2</v>
      </c>
      <c r="F12" s="20">
        <v>1</v>
      </c>
      <c r="G12" s="20">
        <v>2</v>
      </c>
      <c r="H12" s="20">
        <v>6</v>
      </c>
      <c r="I12" s="20">
        <v>2</v>
      </c>
      <c r="J12" s="20">
        <v>3</v>
      </c>
      <c r="K12" s="20">
        <v>2</v>
      </c>
      <c r="L12" s="20">
        <v>1</v>
      </c>
      <c r="M12" s="20">
        <v>2</v>
      </c>
      <c r="N12" s="20">
        <v>3</v>
      </c>
      <c r="O12" s="20">
        <v>1</v>
      </c>
      <c r="P12" s="20">
        <v>1</v>
      </c>
      <c r="Q12" s="20">
        <v>1</v>
      </c>
      <c r="R12" s="20">
        <v>2</v>
      </c>
      <c r="S12" s="20">
        <v>3</v>
      </c>
      <c r="T12" s="20">
        <v>2</v>
      </c>
      <c r="U12" s="20">
        <v>4</v>
      </c>
      <c r="V12" s="20">
        <v>2</v>
      </c>
      <c r="W12" s="20">
        <v>3</v>
      </c>
      <c r="X12" s="20">
        <v>2</v>
      </c>
      <c r="Y12" s="20">
        <v>4</v>
      </c>
      <c r="Z12" s="20">
        <v>2</v>
      </c>
      <c r="AA12" s="20">
        <v>3</v>
      </c>
      <c r="AB12" s="20">
        <v>2</v>
      </c>
      <c r="AC12" s="20">
        <v>4</v>
      </c>
      <c r="AD12" s="20">
        <v>2</v>
      </c>
      <c r="AE12" s="20">
        <v>4</v>
      </c>
      <c r="AF12" s="20">
        <v>1</v>
      </c>
      <c r="AG12" s="20">
        <v>4</v>
      </c>
      <c r="AH12" s="20">
        <v>2</v>
      </c>
      <c r="AI12" s="20" t="s">
        <v>118</v>
      </c>
    </row>
    <row r="13" spans="1:35" x14ac:dyDescent="0.25">
      <c r="A13" s="20" t="s">
        <v>35</v>
      </c>
      <c r="B13" s="20">
        <v>4</v>
      </c>
      <c r="C13" s="20">
        <v>1</v>
      </c>
      <c r="D13" s="20">
        <v>1</v>
      </c>
      <c r="E13" s="20">
        <v>2</v>
      </c>
      <c r="F13" s="20">
        <v>1</v>
      </c>
      <c r="G13" s="20">
        <v>2</v>
      </c>
      <c r="H13" s="20">
        <v>6</v>
      </c>
      <c r="I13" s="20">
        <v>2</v>
      </c>
      <c r="J13" s="20">
        <v>3</v>
      </c>
      <c r="K13" s="20">
        <v>2</v>
      </c>
      <c r="L13" s="20">
        <v>1</v>
      </c>
      <c r="M13" s="20">
        <v>2</v>
      </c>
      <c r="N13" s="20">
        <v>3</v>
      </c>
      <c r="O13" s="20">
        <v>1</v>
      </c>
      <c r="P13" s="20">
        <v>1</v>
      </c>
      <c r="Q13" s="20">
        <v>1</v>
      </c>
      <c r="R13" s="20">
        <v>2</v>
      </c>
      <c r="S13" s="20">
        <v>3</v>
      </c>
      <c r="T13" s="20">
        <v>2</v>
      </c>
      <c r="U13" s="20">
        <v>4</v>
      </c>
      <c r="V13" s="20">
        <v>2</v>
      </c>
      <c r="W13" s="20">
        <v>3</v>
      </c>
      <c r="X13" s="20">
        <v>2</v>
      </c>
      <c r="Y13" s="20">
        <v>4</v>
      </c>
      <c r="Z13" s="20">
        <v>2</v>
      </c>
      <c r="AA13" s="20">
        <v>3</v>
      </c>
      <c r="AB13" s="20">
        <v>2</v>
      </c>
      <c r="AC13" s="20">
        <v>4</v>
      </c>
      <c r="AD13" s="20">
        <v>2</v>
      </c>
      <c r="AE13" s="20">
        <v>4</v>
      </c>
      <c r="AF13" s="20">
        <v>1</v>
      </c>
      <c r="AG13" s="20">
        <v>4</v>
      </c>
      <c r="AH13" s="20">
        <v>2</v>
      </c>
      <c r="AI13" s="20" t="s">
        <v>119</v>
      </c>
    </row>
    <row r="14" spans="1:35" x14ac:dyDescent="0.25">
      <c r="A14" s="59" t="s">
        <v>35</v>
      </c>
      <c r="B14" s="59">
        <v>4</v>
      </c>
      <c r="C14" s="59">
        <v>1</v>
      </c>
      <c r="D14" s="59">
        <v>1</v>
      </c>
      <c r="E14" s="59">
        <v>2</v>
      </c>
      <c r="F14" s="59">
        <v>1</v>
      </c>
      <c r="G14" s="59">
        <v>2</v>
      </c>
      <c r="H14" s="59">
        <v>6</v>
      </c>
      <c r="I14" s="59">
        <v>2</v>
      </c>
      <c r="J14" s="59">
        <v>3</v>
      </c>
      <c r="K14" s="59">
        <v>2</v>
      </c>
      <c r="L14" s="59">
        <v>1</v>
      </c>
      <c r="M14" s="59">
        <v>1</v>
      </c>
      <c r="N14" s="59">
        <v>3</v>
      </c>
      <c r="O14" s="59">
        <v>1</v>
      </c>
      <c r="P14" s="59">
        <v>1</v>
      </c>
      <c r="Q14" s="59">
        <v>1</v>
      </c>
      <c r="R14" s="59">
        <v>2</v>
      </c>
      <c r="S14" s="59">
        <v>3</v>
      </c>
      <c r="T14" s="59">
        <v>2</v>
      </c>
      <c r="U14" s="59">
        <v>4</v>
      </c>
      <c r="V14" s="59">
        <v>2</v>
      </c>
      <c r="W14" s="59">
        <v>3</v>
      </c>
      <c r="X14" s="59">
        <v>2</v>
      </c>
      <c r="Y14" s="59">
        <v>4</v>
      </c>
      <c r="Z14" s="59">
        <v>2</v>
      </c>
      <c r="AA14" s="59">
        <v>3</v>
      </c>
      <c r="AB14" s="59">
        <v>2</v>
      </c>
      <c r="AC14" s="59">
        <v>4</v>
      </c>
      <c r="AD14" s="59">
        <v>2</v>
      </c>
      <c r="AE14" s="59">
        <v>4</v>
      </c>
      <c r="AF14" s="59">
        <v>1</v>
      </c>
      <c r="AG14" s="59">
        <v>4</v>
      </c>
      <c r="AH14" s="59">
        <v>2</v>
      </c>
      <c r="AI14" s="59" t="s">
        <v>120</v>
      </c>
    </row>
    <row r="15" spans="1:35" x14ac:dyDescent="0.25">
      <c r="A15" s="59" t="s">
        <v>35</v>
      </c>
      <c r="B15" s="59">
        <v>1</v>
      </c>
      <c r="C15" s="59">
        <v>1.55</v>
      </c>
      <c r="D15" s="59">
        <v>1.7435897435897401</v>
      </c>
      <c r="E15" s="59">
        <v>5.0250000000000004</v>
      </c>
      <c r="F15" s="59">
        <v>1.625</v>
      </c>
      <c r="G15" s="59">
        <v>1.83544303797468</v>
      </c>
      <c r="H15" s="59">
        <v>5.9874999999999998</v>
      </c>
      <c r="I15" s="59">
        <v>1.84810126582278</v>
      </c>
      <c r="J15" s="59">
        <v>2.1139240506329098</v>
      </c>
      <c r="K15" s="59">
        <v>3.1749999999999998</v>
      </c>
      <c r="L15" s="59">
        <v>1.1000000000000001</v>
      </c>
      <c r="M15" s="59">
        <v>2.3108108108108101</v>
      </c>
      <c r="N15" s="59">
        <v>3.0625</v>
      </c>
      <c r="O15" s="59">
        <v>1.2250000000000001</v>
      </c>
      <c r="P15" s="59">
        <v>1.15189873417721</v>
      </c>
      <c r="Q15" s="59">
        <v>1.4</v>
      </c>
      <c r="R15" s="59">
        <v>1.93827160493827</v>
      </c>
      <c r="S15" s="59">
        <v>3.3827160493827102</v>
      </c>
      <c r="T15" s="59">
        <v>1.9629629629629599</v>
      </c>
      <c r="U15" s="59">
        <v>4</v>
      </c>
      <c r="V15" s="59">
        <v>2</v>
      </c>
      <c r="W15" s="59">
        <v>3.1234567901234498</v>
      </c>
      <c r="X15" s="59">
        <v>1.9629629629629599</v>
      </c>
      <c r="Y15" s="59">
        <v>3.95061728395061</v>
      </c>
      <c r="Z15" s="59">
        <v>1.75308641975308</v>
      </c>
      <c r="AA15" s="59">
        <v>3.3580246913580201</v>
      </c>
      <c r="AB15" s="59">
        <v>1.98765432098765</v>
      </c>
      <c r="AC15" s="59">
        <v>4</v>
      </c>
      <c r="AD15" s="59">
        <v>1.9753086419753001</v>
      </c>
      <c r="AE15" s="59">
        <v>4</v>
      </c>
      <c r="AF15" s="59">
        <v>1.4624999999999999</v>
      </c>
      <c r="AG15" s="59">
        <v>4</v>
      </c>
      <c r="AH15" s="59">
        <v>1.7922077922077899</v>
      </c>
      <c r="AI15" s="59" t="s">
        <v>121</v>
      </c>
    </row>
    <row r="16" spans="1:35" x14ac:dyDescent="0.25">
      <c r="A16" s="59" t="s">
        <v>35</v>
      </c>
      <c r="B16" s="59">
        <v>1</v>
      </c>
      <c r="C16" s="59">
        <v>1</v>
      </c>
      <c r="D16" s="59">
        <v>1</v>
      </c>
      <c r="E16" s="59">
        <v>6</v>
      </c>
      <c r="F16" s="59">
        <v>3</v>
      </c>
      <c r="G16" s="59">
        <v>2</v>
      </c>
      <c r="H16" s="59">
        <v>6</v>
      </c>
      <c r="I16" s="59">
        <v>2</v>
      </c>
      <c r="J16" s="59">
        <v>2</v>
      </c>
      <c r="K16" s="59">
        <v>2</v>
      </c>
      <c r="L16" s="59">
        <v>1</v>
      </c>
      <c r="M16" s="59">
        <v>1</v>
      </c>
      <c r="N16" s="59">
        <v>3</v>
      </c>
      <c r="O16" s="59">
        <v>1</v>
      </c>
      <c r="P16" s="59">
        <v>1</v>
      </c>
      <c r="Q16" s="59">
        <v>1</v>
      </c>
      <c r="R16" s="59">
        <v>2</v>
      </c>
      <c r="S16" s="59">
        <v>4</v>
      </c>
      <c r="T16" s="59">
        <v>2</v>
      </c>
      <c r="U16" s="59">
        <v>4</v>
      </c>
      <c r="V16" s="59">
        <v>2</v>
      </c>
      <c r="W16" s="59">
        <v>3</v>
      </c>
      <c r="X16" s="59">
        <v>2</v>
      </c>
      <c r="Y16" s="59">
        <v>4</v>
      </c>
      <c r="Z16" s="59">
        <v>2</v>
      </c>
      <c r="AA16" s="59">
        <v>4</v>
      </c>
      <c r="AB16" s="59">
        <v>2</v>
      </c>
      <c r="AC16" s="59">
        <v>4</v>
      </c>
      <c r="AD16" s="59">
        <v>2</v>
      </c>
      <c r="AE16" s="59">
        <v>4</v>
      </c>
      <c r="AF16" s="59">
        <v>1</v>
      </c>
      <c r="AG16" s="59">
        <v>4</v>
      </c>
      <c r="AH16" s="59">
        <v>2</v>
      </c>
      <c r="AI16" s="59" t="s">
        <v>122</v>
      </c>
    </row>
    <row r="17" spans="1:35" x14ac:dyDescent="0.25">
      <c r="A17" s="59" t="s">
        <v>35</v>
      </c>
      <c r="B17" s="59">
        <v>1</v>
      </c>
      <c r="C17" s="59">
        <v>1.55</v>
      </c>
      <c r="D17" s="59">
        <v>1.7435897435897401</v>
      </c>
      <c r="E17" s="59">
        <v>5.0250000000000004</v>
      </c>
      <c r="F17" s="59">
        <v>1.625</v>
      </c>
      <c r="G17" s="59">
        <v>1.83544303797468</v>
      </c>
      <c r="H17" s="59">
        <v>5.9874999999999998</v>
      </c>
      <c r="I17" s="59">
        <v>1.84810126582278</v>
      </c>
      <c r="J17" s="59">
        <v>2.1139240506329098</v>
      </c>
      <c r="K17" s="59">
        <v>3.1749999999999998</v>
      </c>
      <c r="L17" s="59">
        <v>1.1000000000000001</v>
      </c>
      <c r="M17" s="59">
        <v>2.3108108108108101</v>
      </c>
      <c r="N17" s="59">
        <v>3.0625</v>
      </c>
      <c r="O17" s="59">
        <v>1.2250000000000001</v>
      </c>
      <c r="P17" s="59">
        <v>1.15189873417721</v>
      </c>
      <c r="Q17" s="59">
        <v>1.4</v>
      </c>
      <c r="R17" s="59">
        <v>1.93827160493827</v>
      </c>
      <c r="S17" s="59">
        <v>3.3827160493827102</v>
      </c>
      <c r="T17" s="59">
        <v>1.9629629629629599</v>
      </c>
      <c r="U17" s="59">
        <v>4</v>
      </c>
      <c r="V17" s="59">
        <v>2</v>
      </c>
      <c r="W17" s="59">
        <v>3.1234567901234498</v>
      </c>
      <c r="X17" s="59">
        <v>1.9629629629629599</v>
      </c>
      <c r="Y17" s="59">
        <v>3.95061728395061</v>
      </c>
      <c r="Z17" s="59">
        <v>1.75308641975308</v>
      </c>
      <c r="AA17" s="59">
        <v>3.3580246913580201</v>
      </c>
      <c r="AB17" s="59">
        <v>1.98765432098765</v>
      </c>
      <c r="AC17" s="59">
        <v>4</v>
      </c>
      <c r="AD17" s="59">
        <v>1.9753086419753001</v>
      </c>
      <c r="AE17" s="59">
        <v>4</v>
      </c>
      <c r="AF17" s="59">
        <v>1.4624999999999999</v>
      </c>
      <c r="AG17" s="59">
        <v>4</v>
      </c>
      <c r="AH17" s="59">
        <v>1.7922077922077899</v>
      </c>
      <c r="AI17" s="59" t="s">
        <v>123</v>
      </c>
    </row>
    <row r="18" spans="1:35" x14ac:dyDescent="0.25">
      <c r="A18" s="59" t="s">
        <v>35</v>
      </c>
      <c r="B18" s="59">
        <v>1</v>
      </c>
      <c r="C18" s="59">
        <v>1.55</v>
      </c>
      <c r="D18" s="59">
        <v>1.7435897435897401</v>
      </c>
      <c r="E18" s="59">
        <v>5.0250000000000004</v>
      </c>
      <c r="F18" s="59">
        <v>1.625</v>
      </c>
      <c r="G18" s="59">
        <v>1.83544303797468</v>
      </c>
      <c r="H18" s="59">
        <v>5.9874999999999998</v>
      </c>
      <c r="I18" s="59">
        <v>1.84810126582278</v>
      </c>
      <c r="J18" s="59">
        <v>2.1139240506329098</v>
      </c>
      <c r="K18" s="59">
        <v>3.1749999999999998</v>
      </c>
      <c r="L18" s="59">
        <v>1.1000000000000001</v>
      </c>
      <c r="M18" s="59">
        <v>2.3108108108108101</v>
      </c>
      <c r="N18" s="59">
        <v>3.0625</v>
      </c>
      <c r="O18" s="59">
        <v>1.2250000000000001</v>
      </c>
      <c r="P18" s="59">
        <v>1.15189873417721</v>
      </c>
      <c r="Q18" s="59">
        <v>1.4</v>
      </c>
      <c r="R18" s="59">
        <v>1.93827160493827</v>
      </c>
      <c r="S18" s="59">
        <v>3.3827160493827102</v>
      </c>
      <c r="T18" s="59">
        <v>1.9629629629629599</v>
      </c>
      <c r="U18" s="59">
        <v>4</v>
      </c>
      <c r="V18" s="59">
        <v>2</v>
      </c>
      <c r="W18" s="59">
        <v>3.1234567901234498</v>
      </c>
      <c r="X18" s="59">
        <v>1.9629629629629599</v>
      </c>
      <c r="Y18" s="59">
        <v>3.95061728395061</v>
      </c>
      <c r="Z18" s="59">
        <v>1.75308641975308</v>
      </c>
      <c r="AA18" s="59">
        <v>3.3580246913580201</v>
      </c>
      <c r="AB18" s="59">
        <v>1.98765432098765</v>
      </c>
      <c r="AC18" s="59">
        <v>4</v>
      </c>
      <c r="AD18" s="59">
        <v>1.9753086419753001</v>
      </c>
      <c r="AE18" s="59">
        <v>4</v>
      </c>
      <c r="AF18" s="59">
        <v>1.4624999999999999</v>
      </c>
      <c r="AG18" s="59">
        <v>4</v>
      </c>
      <c r="AH18" s="59">
        <v>1.7922077922077899</v>
      </c>
      <c r="AI18" s="59" t="s">
        <v>124</v>
      </c>
    </row>
    <row r="19" spans="1:35" x14ac:dyDescent="0.25">
      <c r="A19" s="59" t="s">
        <v>35</v>
      </c>
      <c r="B19" s="59">
        <v>1</v>
      </c>
      <c r="C19" s="59">
        <v>1.55</v>
      </c>
      <c r="D19" s="59">
        <v>1.7435897435897401</v>
      </c>
      <c r="E19" s="59">
        <v>5.0250000000000004</v>
      </c>
      <c r="F19" s="59">
        <v>1.625</v>
      </c>
      <c r="G19" s="59">
        <v>1.83544303797468</v>
      </c>
      <c r="H19" s="59">
        <v>5.9874999999999998</v>
      </c>
      <c r="I19" s="59">
        <v>1.84810126582278</v>
      </c>
      <c r="J19" s="59">
        <v>2.1139240506329098</v>
      </c>
      <c r="K19" s="59">
        <v>3.1749999999999998</v>
      </c>
      <c r="L19" s="59">
        <v>1.1000000000000001</v>
      </c>
      <c r="M19" s="59">
        <v>2.3108108108108101</v>
      </c>
      <c r="N19" s="59">
        <v>3.0625</v>
      </c>
      <c r="O19" s="59">
        <v>1.2250000000000001</v>
      </c>
      <c r="P19" s="59">
        <v>1.15189873417721</v>
      </c>
      <c r="Q19" s="59">
        <v>1.4</v>
      </c>
      <c r="R19" s="59">
        <v>1.93827160493827</v>
      </c>
      <c r="S19" s="59">
        <v>3.3827160493827102</v>
      </c>
      <c r="T19" s="59">
        <v>1.9629629629629599</v>
      </c>
      <c r="U19" s="59">
        <v>4</v>
      </c>
      <c r="V19" s="59">
        <v>2</v>
      </c>
      <c r="W19" s="59">
        <v>3.1234567901234498</v>
      </c>
      <c r="X19" s="59">
        <v>1.9629629629629599</v>
      </c>
      <c r="Y19" s="59">
        <v>3.95061728395061</v>
      </c>
      <c r="Z19" s="59">
        <v>1.75308641975308</v>
      </c>
      <c r="AA19" s="59">
        <v>3.3580246913580201</v>
      </c>
      <c r="AB19" s="59">
        <v>1.98765432098765</v>
      </c>
      <c r="AC19" s="59">
        <v>4</v>
      </c>
      <c r="AD19" s="59">
        <v>1.9753086419753001</v>
      </c>
      <c r="AE19" s="59">
        <v>4</v>
      </c>
      <c r="AF19" s="59">
        <v>1.4624999999999999</v>
      </c>
      <c r="AG19" s="59">
        <v>4</v>
      </c>
      <c r="AH19" s="59">
        <v>1.7922077922077899</v>
      </c>
      <c r="AI19" s="59" t="s">
        <v>125</v>
      </c>
    </row>
    <row r="20" spans="1:35" x14ac:dyDescent="0.25">
      <c r="A20" s="59" t="s">
        <v>35</v>
      </c>
      <c r="B20" s="59">
        <v>2</v>
      </c>
      <c r="C20" s="59">
        <v>1</v>
      </c>
      <c r="D20" s="59">
        <v>1</v>
      </c>
      <c r="E20" s="59">
        <v>6</v>
      </c>
      <c r="F20" s="59">
        <v>1</v>
      </c>
      <c r="G20" s="59">
        <v>2</v>
      </c>
      <c r="H20" s="59">
        <v>6</v>
      </c>
      <c r="I20" s="59">
        <v>2</v>
      </c>
      <c r="J20" s="59">
        <v>3</v>
      </c>
      <c r="K20" s="59">
        <v>2</v>
      </c>
      <c r="L20" s="59">
        <v>1</v>
      </c>
      <c r="M20" s="59">
        <v>1</v>
      </c>
      <c r="N20" s="59">
        <v>3</v>
      </c>
      <c r="O20" s="59">
        <v>1</v>
      </c>
      <c r="P20" s="59">
        <v>1</v>
      </c>
      <c r="Q20" s="59">
        <v>1</v>
      </c>
      <c r="R20" s="59">
        <v>2</v>
      </c>
      <c r="S20" s="59">
        <v>3</v>
      </c>
      <c r="T20" s="59">
        <v>2</v>
      </c>
      <c r="U20" s="59">
        <v>4</v>
      </c>
      <c r="V20" s="59">
        <v>2</v>
      </c>
      <c r="W20" s="59">
        <v>3</v>
      </c>
      <c r="X20" s="59">
        <v>2</v>
      </c>
      <c r="Y20" s="59">
        <v>4</v>
      </c>
      <c r="Z20" s="59">
        <v>1</v>
      </c>
      <c r="AA20" s="59">
        <v>3</v>
      </c>
      <c r="AB20" s="59">
        <v>2</v>
      </c>
      <c r="AC20" s="59">
        <v>4</v>
      </c>
      <c r="AD20" s="59">
        <v>2</v>
      </c>
      <c r="AE20" s="59">
        <v>4</v>
      </c>
      <c r="AF20" s="59">
        <v>1</v>
      </c>
      <c r="AG20" s="59">
        <v>4</v>
      </c>
      <c r="AH20" s="59">
        <v>2</v>
      </c>
      <c r="AI20" s="59" t="s">
        <v>126</v>
      </c>
    </row>
    <row r="21" spans="1:35" x14ac:dyDescent="0.25">
      <c r="A21" s="59" t="s">
        <v>34</v>
      </c>
      <c r="B21" s="59">
        <v>3</v>
      </c>
      <c r="C21" s="59">
        <v>1</v>
      </c>
      <c r="D21" s="59">
        <v>1</v>
      </c>
      <c r="E21" s="59">
        <v>6</v>
      </c>
      <c r="F21" s="59">
        <v>1</v>
      </c>
      <c r="G21" s="59">
        <v>2</v>
      </c>
      <c r="H21" s="59">
        <v>6</v>
      </c>
      <c r="I21" s="59">
        <v>2</v>
      </c>
      <c r="J21" s="59">
        <v>3</v>
      </c>
      <c r="K21" s="59">
        <v>2</v>
      </c>
      <c r="L21" s="59">
        <v>1</v>
      </c>
      <c r="M21" s="59">
        <v>2</v>
      </c>
      <c r="N21" s="59">
        <v>3</v>
      </c>
      <c r="O21" s="59">
        <v>1</v>
      </c>
      <c r="P21" s="59">
        <v>1</v>
      </c>
      <c r="Q21" s="59">
        <v>1</v>
      </c>
      <c r="R21" s="59">
        <v>2</v>
      </c>
      <c r="S21" s="59">
        <v>4</v>
      </c>
      <c r="T21" s="59">
        <v>2</v>
      </c>
      <c r="U21" s="59">
        <v>4</v>
      </c>
      <c r="V21" s="59">
        <v>2</v>
      </c>
      <c r="W21" s="59">
        <v>3</v>
      </c>
      <c r="X21" s="59">
        <v>2</v>
      </c>
      <c r="Y21" s="59">
        <v>4</v>
      </c>
      <c r="Z21" s="59">
        <v>2</v>
      </c>
      <c r="AA21" s="59">
        <v>4</v>
      </c>
      <c r="AB21" s="59">
        <v>2</v>
      </c>
      <c r="AC21" s="59">
        <v>4</v>
      </c>
      <c r="AD21" s="59">
        <v>2</v>
      </c>
      <c r="AE21" s="59">
        <v>4</v>
      </c>
      <c r="AF21" s="59">
        <v>1</v>
      </c>
      <c r="AG21" s="59">
        <v>4</v>
      </c>
      <c r="AH21" s="59">
        <v>2</v>
      </c>
      <c r="AI21" s="59" t="s">
        <v>127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Views>
    <sheetView workbookViewId="0">
      <selection sqref="A1:A21"/>
    </sheetView>
  </sheetViews>
  <sheetFormatPr defaultRowHeight="15" x14ac:dyDescent="0.25"/>
  <sheetData>
    <row r="1" spans="1:34" x14ac:dyDescent="0.3">
      <c r="A1" s="10" t="s">
        <v>33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</row>
    <row r="2" spans="1:34" x14ac:dyDescent="0.3">
      <c r="A2" s="18" t="s">
        <v>34</v>
      </c>
      <c r="B2" s="19">
        <v>0.7</v>
      </c>
      <c r="C2" s="19">
        <v>0.2</v>
      </c>
      <c r="D2" s="19">
        <v>0.3</v>
      </c>
      <c r="E2" s="19">
        <v>0.7</v>
      </c>
      <c r="F2" s="19">
        <v>0.3</v>
      </c>
      <c r="G2" s="19">
        <v>1</v>
      </c>
      <c r="H2" s="19">
        <v>0.5</v>
      </c>
      <c r="I2" s="19">
        <v>1</v>
      </c>
      <c r="J2" s="19">
        <v>0.2</v>
      </c>
      <c r="K2" s="19">
        <v>0</v>
      </c>
      <c r="L2" s="19">
        <v>0</v>
      </c>
      <c r="M2" s="19">
        <v>0.2</v>
      </c>
      <c r="N2" s="19">
        <v>0.5</v>
      </c>
      <c r="O2" s="19">
        <v>0</v>
      </c>
      <c r="P2" s="19">
        <v>0</v>
      </c>
      <c r="Q2" s="19">
        <v>0</v>
      </c>
      <c r="R2" s="19">
        <v>1</v>
      </c>
      <c r="S2" s="19">
        <v>0</v>
      </c>
      <c r="T2" s="19">
        <v>1</v>
      </c>
      <c r="U2" s="19">
        <v>1</v>
      </c>
      <c r="V2" s="19">
        <v>1</v>
      </c>
      <c r="W2" s="19">
        <v>0</v>
      </c>
      <c r="X2" s="19">
        <v>1</v>
      </c>
      <c r="Y2" s="19">
        <v>1</v>
      </c>
      <c r="Z2" s="19">
        <v>1</v>
      </c>
      <c r="AA2" s="19">
        <v>0</v>
      </c>
      <c r="AB2" s="19">
        <v>1</v>
      </c>
      <c r="AC2" s="19">
        <v>1</v>
      </c>
      <c r="AD2" s="19">
        <v>1</v>
      </c>
      <c r="AE2" s="19">
        <v>1</v>
      </c>
      <c r="AF2" s="19">
        <v>1</v>
      </c>
      <c r="AG2" s="19">
        <v>1</v>
      </c>
      <c r="AH2" s="19">
        <v>0.5</v>
      </c>
    </row>
    <row r="3" spans="1:34" x14ac:dyDescent="0.3">
      <c r="A3" s="18" t="s">
        <v>35</v>
      </c>
      <c r="B3" s="19">
        <v>0.5</v>
      </c>
      <c r="C3" s="19">
        <v>0.1</v>
      </c>
      <c r="D3" s="19">
        <v>0.2</v>
      </c>
      <c r="E3" s="19">
        <v>0.5</v>
      </c>
      <c r="F3" s="19">
        <v>0.1</v>
      </c>
      <c r="G3" s="19">
        <v>0.9</v>
      </c>
      <c r="H3" s="19">
        <v>0.55416666666666603</v>
      </c>
      <c r="I3" s="19">
        <v>0.848101265822784</v>
      </c>
      <c r="J3" s="19">
        <v>0.42278481012658198</v>
      </c>
      <c r="K3" s="19">
        <v>0.13055555555555501</v>
      </c>
      <c r="L3" s="19">
        <v>0.05</v>
      </c>
      <c r="M3" s="19">
        <v>0.26216216216216198</v>
      </c>
      <c r="N3" s="19">
        <v>0.515625</v>
      </c>
      <c r="O3" s="19">
        <v>7.4999999999999997E-2</v>
      </c>
      <c r="P3" s="19">
        <v>5.0632911392405E-2</v>
      </c>
      <c r="Q3" s="19">
        <v>9.9999999999999895E-2</v>
      </c>
      <c r="R3" s="19">
        <v>0.938271604938271</v>
      </c>
      <c r="S3" s="19">
        <v>0.38271604938271597</v>
      </c>
      <c r="T3" s="19">
        <v>0.96296296296296302</v>
      </c>
      <c r="U3" s="19">
        <v>1</v>
      </c>
      <c r="V3" s="19">
        <v>1</v>
      </c>
      <c r="W3" s="19">
        <v>0.12345679012345601</v>
      </c>
      <c r="X3" s="19">
        <v>0.96296296296296302</v>
      </c>
      <c r="Y3" s="19">
        <v>0.95061728395061695</v>
      </c>
      <c r="Z3" s="19">
        <v>0.75308641975308599</v>
      </c>
      <c r="AA3" s="19">
        <v>0.35802469135802401</v>
      </c>
      <c r="AB3" s="19">
        <v>0.98765432098765404</v>
      </c>
      <c r="AC3" s="19">
        <v>1</v>
      </c>
      <c r="AD3" s="19">
        <v>0.97530864197530798</v>
      </c>
      <c r="AE3" s="19">
        <v>1</v>
      </c>
      <c r="AF3" s="19">
        <v>0.46249999999999902</v>
      </c>
      <c r="AG3" s="19">
        <v>1</v>
      </c>
      <c r="AH3" s="19">
        <v>0.89610389610389596</v>
      </c>
    </row>
    <row r="4" spans="1:34" x14ac:dyDescent="0.3">
      <c r="A4" s="18" t="s">
        <v>35</v>
      </c>
      <c r="B4" s="19">
        <v>0</v>
      </c>
      <c r="C4" s="19">
        <v>0.1</v>
      </c>
      <c r="D4" s="19">
        <v>0.2</v>
      </c>
      <c r="E4" s="19">
        <v>0.5</v>
      </c>
      <c r="F4" s="19">
        <v>0.1</v>
      </c>
      <c r="G4" s="19">
        <v>0.9</v>
      </c>
      <c r="H4" s="19">
        <v>0.55416666666666603</v>
      </c>
      <c r="I4" s="19">
        <v>0.848101265822784</v>
      </c>
      <c r="J4" s="19">
        <v>0.42278481012658198</v>
      </c>
      <c r="K4" s="19">
        <v>0.13055555555555501</v>
      </c>
      <c r="L4" s="19">
        <v>0.05</v>
      </c>
      <c r="M4" s="19">
        <v>0.26216216216216198</v>
      </c>
      <c r="N4" s="19">
        <v>0.515625</v>
      </c>
      <c r="O4" s="19">
        <v>7.4999999999999997E-2</v>
      </c>
      <c r="P4" s="19">
        <v>5.0632911392405E-2</v>
      </c>
      <c r="Q4" s="19">
        <v>9.9999999999999895E-2</v>
      </c>
      <c r="R4" s="19">
        <v>0.938271604938271</v>
      </c>
      <c r="S4" s="19">
        <v>0.38271604938271597</v>
      </c>
      <c r="T4" s="19">
        <v>0.96296296296296302</v>
      </c>
      <c r="U4" s="19">
        <v>1</v>
      </c>
      <c r="V4" s="19">
        <v>1</v>
      </c>
      <c r="W4" s="19">
        <v>0.12345679012345601</v>
      </c>
      <c r="X4" s="19">
        <v>0.96296296296296302</v>
      </c>
      <c r="Y4" s="19">
        <v>0.95061728395061695</v>
      </c>
      <c r="Z4" s="19">
        <v>0.75308641975308599</v>
      </c>
      <c r="AA4" s="19">
        <v>0.35802469135802401</v>
      </c>
      <c r="AB4" s="19">
        <v>0.98765432098765404</v>
      </c>
      <c r="AC4" s="19">
        <v>1</v>
      </c>
      <c r="AD4" s="19">
        <v>0.97530864197530798</v>
      </c>
      <c r="AE4" s="19">
        <v>1</v>
      </c>
      <c r="AF4" s="19">
        <v>0.46249999999999902</v>
      </c>
      <c r="AG4" s="19">
        <v>1</v>
      </c>
      <c r="AH4" s="19">
        <v>0.89610389610389596</v>
      </c>
    </row>
    <row r="5" spans="1:34" x14ac:dyDescent="0.3">
      <c r="A5" s="18" t="s">
        <v>35</v>
      </c>
      <c r="B5" s="19">
        <v>0</v>
      </c>
      <c r="C5" s="19">
        <v>0.1</v>
      </c>
      <c r="D5" s="19">
        <v>0.2</v>
      </c>
      <c r="E5" s="19">
        <v>0.5</v>
      </c>
      <c r="F5" s="19">
        <v>0.1</v>
      </c>
      <c r="G5" s="19">
        <v>0.9</v>
      </c>
      <c r="H5" s="19">
        <v>0.55416666666666603</v>
      </c>
      <c r="I5" s="19">
        <v>0.848101265822784</v>
      </c>
      <c r="J5" s="19">
        <v>0.42278481012658198</v>
      </c>
      <c r="K5" s="19">
        <v>0.13055555555555501</v>
      </c>
      <c r="L5" s="19">
        <v>0.05</v>
      </c>
      <c r="M5" s="19">
        <v>0.26216216216216198</v>
      </c>
      <c r="N5" s="19">
        <v>0.515625</v>
      </c>
      <c r="O5" s="19">
        <v>7.4999999999999997E-2</v>
      </c>
      <c r="P5" s="19">
        <v>5.0632911392405E-2</v>
      </c>
      <c r="Q5" s="19">
        <v>9.9999999999999895E-2</v>
      </c>
      <c r="R5" s="19">
        <v>0.938271604938271</v>
      </c>
      <c r="S5" s="19">
        <v>0.38271604938271597</v>
      </c>
      <c r="T5" s="19">
        <v>0.96296296296296302</v>
      </c>
      <c r="U5" s="19">
        <v>1</v>
      </c>
      <c r="V5" s="19">
        <v>1</v>
      </c>
      <c r="W5" s="19">
        <v>0.12345679012345601</v>
      </c>
      <c r="X5" s="19">
        <v>0.96296296296296302</v>
      </c>
      <c r="Y5" s="19">
        <v>0.95061728395061695</v>
      </c>
      <c r="Z5" s="19">
        <v>0.75308641975308599</v>
      </c>
      <c r="AA5" s="19">
        <v>0.35802469135802401</v>
      </c>
      <c r="AB5" s="19">
        <v>0.98765432098765404</v>
      </c>
      <c r="AC5" s="19">
        <v>1</v>
      </c>
      <c r="AD5" s="19">
        <v>0.97530864197530798</v>
      </c>
      <c r="AE5" s="19">
        <v>1</v>
      </c>
      <c r="AF5" s="19">
        <v>0.46249999999999902</v>
      </c>
      <c r="AG5" s="19">
        <v>1</v>
      </c>
      <c r="AH5" s="19">
        <v>0.89610389610389596</v>
      </c>
    </row>
    <row r="6" spans="1:34" x14ac:dyDescent="0.3">
      <c r="A6" s="18" t="s">
        <v>35</v>
      </c>
      <c r="B6" s="19">
        <v>0</v>
      </c>
      <c r="C6" s="19">
        <v>0.1</v>
      </c>
      <c r="D6" s="19">
        <v>0.2</v>
      </c>
      <c r="E6" s="19">
        <v>0.5</v>
      </c>
      <c r="F6" s="19">
        <v>0.1</v>
      </c>
      <c r="G6" s="19">
        <v>0.9</v>
      </c>
      <c r="H6" s="19">
        <v>0.55416666666666603</v>
      </c>
      <c r="I6" s="19">
        <v>0.848101265822784</v>
      </c>
      <c r="J6" s="19">
        <v>0.42278481012658198</v>
      </c>
      <c r="K6" s="19">
        <v>0.13055555555555501</v>
      </c>
      <c r="L6" s="19">
        <v>0.05</v>
      </c>
      <c r="M6" s="19">
        <v>0.26216216216216198</v>
      </c>
      <c r="N6" s="19">
        <v>0.515625</v>
      </c>
      <c r="O6" s="19">
        <v>7.4999999999999997E-2</v>
      </c>
      <c r="P6" s="19">
        <v>5.0632911392405E-2</v>
      </c>
      <c r="Q6" s="19">
        <v>9.9999999999999895E-2</v>
      </c>
      <c r="R6" s="19">
        <v>0.938271604938271</v>
      </c>
      <c r="S6" s="19">
        <v>0.38271604938271597</v>
      </c>
      <c r="T6" s="19">
        <v>0.96296296296296302</v>
      </c>
      <c r="U6" s="19">
        <v>1</v>
      </c>
      <c r="V6" s="19">
        <v>1</v>
      </c>
      <c r="W6" s="19">
        <v>0.12345679012345601</v>
      </c>
      <c r="X6" s="19">
        <v>0.96296296296296302</v>
      </c>
      <c r="Y6" s="19">
        <v>0.95061728395061695</v>
      </c>
      <c r="Z6" s="19">
        <v>0.75308641975308599</v>
      </c>
      <c r="AA6" s="19">
        <v>0.35802469135802401</v>
      </c>
      <c r="AB6" s="19">
        <v>0.98765432098765404</v>
      </c>
      <c r="AC6" s="19">
        <v>1</v>
      </c>
      <c r="AD6" s="19">
        <v>0.97530864197530798</v>
      </c>
      <c r="AE6" s="19">
        <v>1</v>
      </c>
      <c r="AF6" s="19">
        <v>0.46249999999999902</v>
      </c>
      <c r="AG6" s="19">
        <v>1</v>
      </c>
      <c r="AH6" s="19">
        <v>0.89610389610389596</v>
      </c>
    </row>
    <row r="7" spans="1:34" x14ac:dyDescent="0.3">
      <c r="A7" s="18" t="s">
        <v>35</v>
      </c>
      <c r="B7" s="19">
        <v>0</v>
      </c>
      <c r="C7" s="19">
        <v>0.1</v>
      </c>
      <c r="D7" s="19">
        <v>0.2</v>
      </c>
      <c r="E7" s="19">
        <v>0.5</v>
      </c>
      <c r="F7" s="19">
        <v>0.1</v>
      </c>
      <c r="G7" s="19">
        <v>0.9</v>
      </c>
      <c r="H7" s="19">
        <v>0.55416666666666603</v>
      </c>
      <c r="I7" s="19">
        <v>0.848101265822784</v>
      </c>
      <c r="J7" s="19">
        <v>0.42278481012658198</v>
      </c>
      <c r="K7" s="19">
        <v>0.13055555555555501</v>
      </c>
      <c r="L7" s="19">
        <v>0.05</v>
      </c>
      <c r="M7" s="19">
        <v>0.26216216216216198</v>
      </c>
      <c r="N7" s="19">
        <v>0.515625</v>
      </c>
      <c r="O7" s="19">
        <v>7.4999999999999997E-2</v>
      </c>
      <c r="P7" s="19">
        <v>5.0632911392405E-2</v>
      </c>
      <c r="Q7" s="19">
        <v>9.9999999999999895E-2</v>
      </c>
      <c r="R7" s="19">
        <v>0.938271604938271</v>
      </c>
      <c r="S7" s="19">
        <v>0.38271604938271597</v>
      </c>
      <c r="T7" s="19">
        <v>0.96296296296296302</v>
      </c>
      <c r="U7" s="19">
        <v>1</v>
      </c>
      <c r="V7" s="19">
        <v>1</v>
      </c>
      <c r="W7" s="19">
        <v>0.12345679012345601</v>
      </c>
      <c r="X7" s="19">
        <v>0.96296296296296302</v>
      </c>
      <c r="Y7" s="19">
        <v>0.95061728395061695</v>
      </c>
      <c r="Z7" s="19">
        <v>0.75308641975308599</v>
      </c>
      <c r="AA7" s="19">
        <v>0.35802469135802401</v>
      </c>
      <c r="AB7" s="19">
        <v>0.98765432098765404</v>
      </c>
      <c r="AC7" s="19">
        <v>1</v>
      </c>
      <c r="AD7" s="19">
        <v>0.97530864197530798</v>
      </c>
      <c r="AE7" s="19">
        <v>1</v>
      </c>
      <c r="AF7" s="19">
        <v>0.46249999999999902</v>
      </c>
      <c r="AG7" s="19">
        <v>1</v>
      </c>
      <c r="AH7" s="19">
        <v>0.89610389610389596</v>
      </c>
    </row>
    <row r="8" spans="1:34" x14ac:dyDescent="0.3">
      <c r="A8" s="18" t="s">
        <v>35</v>
      </c>
      <c r="B8" s="19">
        <v>0.5</v>
      </c>
      <c r="C8" s="19">
        <v>0.2</v>
      </c>
      <c r="D8" s="19">
        <v>0.3</v>
      </c>
      <c r="E8" s="19">
        <v>0.7</v>
      </c>
      <c r="F8" s="19">
        <v>0.3</v>
      </c>
      <c r="G8" s="19">
        <v>1</v>
      </c>
      <c r="H8" s="19">
        <v>0.5</v>
      </c>
      <c r="I8" s="19">
        <v>1</v>
      </c>
      <c r="J8" s="19">
        <v>0.2</v>
      </c>
      <c r="K8" s="19">
        <v>0</v>
      </c>
      <c r="L8" s="19">
        <v>0</v>
      </c>
      <c r="M8" s="19">
        <v>0.2</v>
      </c>
      <c r="N8" s="19">
        <v>0.5</v>
      </c>
      <c r="O8" s="19">
        <v>0</v>
      </c>
      <c r="P8" s="19">
        <v>0</v>
      </c>
      <c r="Q8" s="19">
        <v>0</v>
      </c>
      <c r="R8" s="19">
        <v>1</v>
      </c>
      <c r="S8" s="19">
        <v>0</v>
      </c>
      <c r="T8" s="19">
        <v>1</v>
      </c>
      <c r="U8" s="19">
        <v>1</v>
      </c>
      <c r="V8" s="19">
        <v>1</v>
      </c>
      <c r="W8" s="19">
        <v>0</v>
      </c>
      <c r="X8" s="19">
        <v>1</v>
      </c>
      <c r="Y8" s="19">
        <v>1</v>
      </c>
      <c r="Z8" s="19">
        <v>1</v>
      </c>
      <c r="AA8" s="19">
        <v>0</v>
      </c>
      <c r="AB8" s="19">
        <v>1</v>
      </c>
      <c r="AC8" s="19">
        <v>1</v>
      </c>
      <c r="AD8" s="19">
        <v>1</v>
      </c>
      <c r="AE8" s="19">
        <v>1</v>
      </c>
      <c r="AF8" s="19">
        <v>1</v>
      </c>
      <c r="AG8" s="19">
        <v>1</v>
      </c>
      <c r="AH8" s="19">
        <v>1</v>
      </c>
    </row>
    <row r="9" spans="1:34" x14ac:dyDescent="0.3">
      <c r="A9" s="18" t="s">
        <v>35</v>
      </c>
      <c r="B9" s="19">
        <v>0</v>
      </c>
      <c r="C9" s="19">
        <v>0.1</v>
      </c>
      <c r="D9" s="19">
        <v>0.2</v>
      </c>
      <c r="E9" s="19">
        <v>0.5</v>
      </c>
      <c r="F9" s="19">
        <v>0.1</v>
      </c>
      <c r="G9" s="19">
        <v>0.9</v>
      </c>
      <c r="H9" s="19">
        <v>0.55416666666666603</v>
      </c>
      <c r="I9" s="19">
        <v>0.848101265822784</v>
      </c>
      <c r="J9" s="19">
        <v>0.42278481012658198</v>
      </c>
      <c r="K9" s="19">
        <v>0.13055555555555501</v>
      </c>
      <c r="L9" s="19">
        <v>0.05</v>
      </c>
      <c r="M9" s="19">
        <v>0.26216216216216198</v>
      </c>
      <c r="N9" s="19">
        <v>0.515625</v>
      </c>
      <c r="O9" s="19">
        <v>7.4999999999999997E-2</v>
      </c>
      <c r="P9" s="19">
        <v>5.0632911392405E-2</v>
      </c>
      <c r="Q9" s="19">
        <v>9.9999999999999895E-2</v>
      </c>
      <c r="R9" s="19">
        <v>0.938271604938271</v>
      </c>
      <c r="S9" s="19">
        <v>0.38271604938271597</v>
      </c>
      <c r="T9" s="19">
        <v>0.96296296296296302</v>
      </c>
      <c r="U9" s="19">
        <v>1</v>
      </c>
      <c r="V9" s="19">
        <v>1</v>
      </c>
      <c r="W9" s="19">
        <v>0.12345679012345601</v>
      </c>
      <c r="X9" s="19">
        <v>0.96296296296296302</v>
      </c>
      <c r="Y9" s="19">
        <v>0.95061728395061695</v>
      </c>
      <c r="Z9" s="19">
        <v>0.75308641975308599</v>
      </c>
      <c r="AA9" s="19">
        <v>0.35802469135802401</v>
      </c>
      <c r="AB9" s="19">
        <v>0.98765432098765404</v>
      </c>
      <c r="AC9" s="19">
        <v>1</v>
      </c>
      <c r="AD9" s="19">
        <v>0.97530864197530798</v>
      </c>
      <c r="AE9" s="19">
        <v>1</v>
      </c>
      <c r="AF9" s="19">
        <v>0.46249999999999902</v>
      </c>
      <c r="AG9" s="19">
        <v>1</v>
      </c>
      <c r="AH9" s="19">
        <v>0.89610389610389596</v>
      </c>
    </row>
    <row r="10" spans="1:34" x14ac:dyDescent="0.3">
      <c r="A10" s="18" t="s">
        <v>35</v>
      </c>
      <c r="B10" s="19">
        <v>0.2</v>
      </c>
      <c r="C10" s="19">
        <v>0</v>
      </c>
      <c r="D10" s="19">
        <v>0</v>
      </c>
      <c r="E10" s="19">
        <v>0</v>
      </c>
      <c r="F10" s="19">
        <v>0</v>
      </c>
      <c r="G10" s="19">
        <v>1</v>
      </c>
      <c r="H10" s="19">
        <v>0.5</v>
      </c>
      <c r="I10" s="19">
        <v>1</v>
      </c>
      <c r="J10" s="19">
        <v>0.4</v>
      </c>
      <c r="K10" s="19">
        <v>1</v>
      </c>
      <c r="L10" s="19">
        <v>0</v>
      </c>
      <c r="M10" s="19">
        <v>0</v>
      </c>
      <c r="N10" s="19">
        <v>0.5</v>
      </c>
      <c r="O10" s="19">
        <v>0</v>
      </c>
      <c r="P10" s="19">
        <v>0</v>
      </c>
      <c r="Q10" s="19">
        <v>0</v>
      </c>
      <c r="R10" s="19">
        <v>1</v>
      </c>
      <c r="S10" s="19">
        <v>1</v>
      </c>
      <c r="T10" s="19">
        <v>1</v>
      </c>
      <c r="U10" s="19">
        <v>1</v>
      </c>
      <c r="V10" s="19">
        <v>1</v>
      </c>
      <c r="W10" s="19">
        <v>1</v>
      </c>
      <c r="X10" s="19">
        <v>1</v>
      </c>
      <c r="Y10" s="19">
        <v>1</v>
      </c>
      <c r="Z10" s="19">
        <v>0</v>
      </c>
      <c r="AA10" s="19">
        <v>1</v>
      </c>
      <c r="AB10" s="19">
        <v>1</v>
      </c>
      <c r="AC10" s="19">
        <v>1</v>
      </c>
      <c r="AD10" s="19">
        <v>1</v>
      </c>
      <c r="AE10" s="19">
        <v>1</v>
      </c>
      <c r="AF10" s="19">
        <v>0</v>
      </c>
      <c r="AG10" s="19">
        <v>1</v>
      </c>
      <c r="AH10" s="19">
        <v>1</v>
      </c>
    </row>
    <row r="11" spans="1:34" x14ac:dyDescent="0.3">
      <c r="A11" s="18" t="s">
        <v>34</v>
      </c>
      <c r="B11" s="19">
        <v>0.5</v>
      </c>
      <c r="C11" s="19">
        <v>0</v>
      </c>
      <c r="D11" s="19">
        <v>0</v>
      </c>
      <c r="E11" s="19">
        <v>1</v>
      </c>
      <c r="F11" s="19">
        <v>0.3</v>
      </c>
      <c r="G11" s="19">
        <v>1</v>
      </c>
      <c r="H11" s="19">
        <v>0.5</v>
      </c>
      <c r="I11" s="19">
        <v>1</v>
      </c>
      <c r="J11" s="19">
        <v>0.4</v>
      </c>
      <c r="K11" s="19">
        <v>0</v>
      </c>
      <c r="L11" s="19">
        <v>0</v>
      </c>
      <c r="M11" s="19">
        <v>0.2</v>
      </c>
      <c r="N11" s="19">
        <v>0.5</v>
      </c>
      <c r="O11" s="19">
        <v>0</v>
      </c>
      <c r="P11" s="19">
        <v>0</v>
      </c>
      <c r="Q11" s="19">
        <v>0</v>
      </c>
      <c r="R11" s="19">
        <v>1</v>
      </c>
      <c r="S11" s="19">
        <v>1</v>
      </c>
      <c r="T11" s="19">
        <v>1</v>
      </c>
      <c r="U11" s="19">
        <v>1</v>
      </c>
      <c r="V11" s="19">
        <v>1</v>
      </c>
      <c r="W11" s="19">
        <v>0</v>
      </c>
      <c r="X11" s="19">
        <v>1</v>
      </c>
      <c r="Y11" s="19">
        <v>1</v>
      </c>
      <c r="Z11" s="19">
        <v>1</v>
      </c>
      <c r="AA11" s="19">
        <v>0</v>
      </c>
      <c r="AB11" s="19">
        <v>1</v>
      </c>
      <c r="AC11" s="19">
        <v>1</v>
      </c>
      <c r="AD11" s="19">
        <v>1</v>
      </c>
      <c r="AE11" s="19">
        <v>1</v>
      </c>
      <c r="AF11" s="19">
        <v>0</v>
      </c>
      <c r="AG11" s="19">
        <v>1</v>
      </c>
      <c r="AH11" s="19">
        <v>1</v>
      </c>
    </row>
    <row r="12" spans="1:34" x14ac:dyDescent="0.3">
      <c r="A12" s="18" t="s">
        <v>35</v>
      </c>
      <c r="B12" s="19">
        <v>0.5</v>
      </c>
      <c r="C12" s="19">
        <v>0.2</v>
      </c>
      <c r="D12" s="19">
        <v>0.3</v>
      </c>
      <c r="E12" s="19">
        <v>0.7</v>
      </c>
      <c r="F12" s="19">
        <v>0</v>
      </c>
      <c r="G12" s="19">
        <v>1</v>
      </c>
      <c r="H12" s="19">
        <v>0.5</v>
      </c>
      <c r="I12" s="19">
        <v>1</v>
      </c>
      <c r="J12" s="19">
        <v>0.2</v>
      </c>
      <c r="K12" s="19">
        <v>0</v>
      </c>
      <c r="L12" s="19">
        <v>0</v>
      </c>
      <c r="M12" s="19">
        <v>1</v>
      </c>
      <c r="N12" s="19">
        <v>0.5</v>
      </c>
      <c r="O12" s="19">
        <v>0.3</v>
      </c>
      <c r="P12" s="19">
        <v>0</v>
      </c>
      <c r="Q12" s="19">
        <v>0</v>
      </c>
      <c r="R12" s="19">
        <v>1</v>
      </c>
      <c r="S12" s="19">
        <v>0</v>
      </c>
      <c r="T12" s="19">
        <v>1</v>
      </c>
      <c r="U12" s="19">
        <v>1</v>
      </c>
      <c r="V12" s="19">
        <v>1</v>
      </c>
      <c r="W12" s="19">
        <v>0</v>
      </c>
      <c r="X12" s="19">
        <v>1</v>
      </c>
      <c r="Y12" s="19">
        <v>1</v>
      </c>
      <c r="Z12" s="19">
        <v>0</v>
      </c>
      <c r="AA12" s="19">
        <v>0</v>
      </c>
      <c r="AB12" s="19">
        <v>1</v>
      </c>
      <c r="AC12" s="19">
        <v>1</v>
      </c>
      <c r="AD12" s="19">
        <v>1</v>
      </c>
      <c r="AE12" s="19">
        <v>1</v>
      </c>
      <c r="AF12" s="19">
        <v>1</v>
      </c>
      <c r="AG12" s="19">
        <v>1</v>
      </c>
      <c r="AH12" s="19">
        <v>1</v>
      </c>
    </row>
    <row r="13" spans="1:34" x14ac:dyDescent="0.3">
      <c r="A13" s="18" t="s">
        <v>35</v>
      </c>
      <c r="B13" s="19">
        <v>0.5</v>
      </c>
      <c r="C13" s="19">
        <v>0.2</v>
      </c>
      <c r="D13" s="19">
        <v>0.3</v>
      </c>
      <c r="E13" s="19">
        <v>0.7</v>
      </c>
      <c r="F13" s="19">
        <v>0</v>
      </c>
      <c r="G13" s="19">
        <v>1</v>
      </c>
      <c r="H13" s="19">
        <v>0.5</v>
      </c>
      <c r="I13" s="19">
        <v>1</v>
      </c>
      <c r="J13" s="19">
        <v>0.4</v>
      </c>
      <c r="K13" s="19">
        <v>0</v>
      </c>
      <c r="L13" s="19">
        <v>0</v>
      </c>
      <c r="M13" s="19">
        <v>1</v>
      </c>
      <c r="N13" s="19">
        <v>1</v>
      </c>
      <c r="O13" s="19">
        <v>0.3</v>
      </c>
      <c r="P13" s="19">
        <v>0</v>
      </c>
      <c r="Q13" s="19">
        <v>0</v>
      </c>
      <c r="R13" s="19">
        <v>1</v>
      </c>
      <c r="S13" s="19">
        <v>1</v>
      </c>
      <c r="T13" s="19">
        <v>1</v>
      </c>
      <c r="U13" s="19">
        <v>1</v>
      </c>
      <c r="V13" s="19">
        <v>1</v>
      </c>
      <c r="W13" s="19">
        <v>0</v>
      </c>
      <c r="X13" s="19">
        <v>1</v>
      </c>
      <c r="Y13" s="19">
        <v>1</v>
      </c>
      <c r="Z13" s="19">
        <v>1</v>
      </c>
      <c r="AA13" s="19">
        <v>1</v>
      </c>
      <c r="AB13" s="19">
        <v>1</v>
      </c>
      <c r="AC13" s="19">
        <v>1</v>
      </c>
      <c r="AD13" s="19">
        <v>1</v>
      </c>
      <c r="AE13" s="19">
        <v>1</v>
      </c>
      <c r="AF13" s="19">
        <v>1</v>
      </c>
      <c r="AG13" s="19">
        <v>1</v>
      </c>
      <c r="AH13" s="19">
        <v>1</v>
      </c>
    </row>
    <row r="14" spans="1:34" x14ac:dyDescent="0.3">
      <c r="A14" s="18" t="s">
        <v>35</v>
      </c>
      <c r="B14" s="19">
        <v>1</v>
      </c>
      <c r="C14" s="19">
        <v>0.2</v>
      </c>
      <c r="D14" s="19">
        <v>0.3</v>
      </c>
      <c r="E14" s="19">
        <v>0.7</v>
      </c>
      <c r="F14" s="19">
        <v>0</v>
      </c>
      <c r="G14" s="19">
        <v>1</v>
      </c>
      <c r="H14" s="19">
        <v>0.5</v>
      </c>
      <c r="I14" s="19">
        <v>1</v>
      </c>
      <c r="J14" s="19">
        <v>0.4</v>
      </c>
      <c r="K14" s="19">
        <v>0</v>
      </c>
      <c r="L14" s="19">
        <v>0</v>
      </c>
      <c r="M14" s="19">
        <v>0.2</v>
      </c>
      <c r="N14" s="19">
        <v>1</v>
      </c>
      <c r="O14" s="19">
        <v>0.3</v>
      </c>
      <c r="P14" s="19">
        <v>0</v>
      </c>
      <c r="Q14" s="19">
        <v>0</v>
      </c>
      <c r="R14" s="19">
        <v>1</v>
      </c>
      <c r="S14" s="19">
        <v>0</v>
      </c>
      <c r="T14" s="19">
        <v>1</v>
      </c>
      <c r="U14" s="19">
        <v>1</v>
      </c>
      <c r="V14" s="19">
        <v>1</v>
      </c>
      <c r="W14" s="19">
        <v>0</v>
      </c>
      <c r="X14" s="19">
        <v>1</v>
      </c>
      <c r="Y14" s="19">
        <v>1</v>
      </c>
      <c r="Z14" s="19">
        <v>1</v>
      </c>
      <c r="AA14" s="19">
        <v>0</v>
      </c>
      <c r="AB14" s="19">
        <v>1</v>
      </c>
      <c r="AC14" s="19">
        <v>1</v>
      </c>
      <c r="AD14" s="19">
        <v>1</v>
      </c>
      <c r="AE14" s="19">
        <v>1</v>
      </c>
      <c r="AF14" s="19">
        <v>1</v>
      </c>
      <c r="AG14" s="19">
        <v>1</v>
      </c>
      <c r="AH14" s="19">
        <v>0.5</v>
      </c>
    </row>
    <row r="15" spans="1:34" x14ac:dyDescent="0.3">
      <c r="A15" s="18" t="s">
        <v>34</v>
      </c>
      <c r="B15" s="19">
        <v>1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0.5</v>
      </c>
      <c r="I15" s="19">
        <v>0</v>
      </c>
      <c r="J15" s="19">
        <v>1</v>
      </c>
      <c r="K15" s="19">
        <v>0</v>
      </c>
      <c r="L15" s="19">
        <v>0</v>
      </c>
      <c r="M15" s="19">
        <v>0.4</v>
      </c>
      <c r="N15" s="19">
        <v>0.2</v>
      </c>
      <c r="O15" s="19">
        <v>0</v>
      </c>
      <c r="P15" s="19">
        <v>0</v>
      </c>
      <c r="Q15" s="19">
        <v>0</v>
      </c>
      <c r="R15" s="19">
        <v>1</v>
      </c>
      <c r="S15" s="19">
        <v>0</v>
      </c>
      <c r="T15" s="19">
        <v>1</v>
      </c>
      <c r="U15" s="19">
        <v>1</v>
      </c>
      <c r="V15" s="19">
        <v>1</v>
      </c>
      <c r="W15" s="19">
        <v>0</v>
      </c>
      <c r="X15" s="19">
        <v>1</v>
      </c>
      <c r="Y15" s="19">
        <v>1</v>
      </c>
      <c r="Z15" s="19">
        <v>1</v>
      </c>
      <c r="AA15" s="19">
        <v>0</v>
      </c>
      <c r="AB15" s="19">
        <v>1</v>
      </c>
      <c r="AC15" s="19">
        <v>1</v>
      </c>
      <c r="AD15" s="19">
        <v>0</v>
      </c>
      <c r="AE15" s="19">
        <v>1</v>
      </c>
      <c r="AF15" s="19">
        <v>0</v>
      </c>
      <c r="AG15" s="19">
        <v>1</v>
      </c>
      <c r="AH15" s="19">
        <v>1</v>
      </c>
    </row>
    <row r="16" spans="1:34" x14ac:dyDescent="0.3">
      <c r="A16" s="18" t="s">
        <v>35</v>
      </c>
      <c r="B16" s="19">
        <v>0.7</v>
      </c>
      <c r="C16" s="19">
        <v>0</v>
      </c>
      <c r="D16" s="19">
        <v>0</v>
      </c>
      <c r="E16" s="19">
        <v>0.7</v>
      </c>
      <c r="F16" s="19">
        <v>0</v>
      </c>
      <c r="G16" s="19">
        <v>0</v>
      </c>
      <c r="H16" s="19">
        <v>0.5</v>
      </c>
      <c r="I16" s="19">
        <v>0</v>
      </c>
      <c r="J16" s="19">
        <v>0.8</v>
      </c>
      <c r="K16" s="19">
        <v>0</v>
      </c>
      <c r="L16" s="19">
        <v>0</v>
      </c>
      <c r="M16" s="19">
        <v>0.2</v>
      </c>
      <c r="N16" s="19">
        <v>0.5</v>
      </c>
      <c r="O16" s="19">
        <v>0</v>
      </c>
      <c r="P16" s="19">
        <v>0</v>
      </c>
      <c r="Q16" s="19">
        <v>0</v>
      </c>
      <c r="R16" s="19">
        <v>1</v>
      </c>
      <c r="S16" s="19">
        <v>0</v>
      </c>
      <c r="T16" s="19">
        <v>1</v>
      </c>
      <c r="U16" s="19">
        <v>1</v>
      </c>
      <c r="V16" s="19">
        <v>1</v>
      </c>
      <c r="W16" s="19">
        <v>0</v>
      </c>
      <c r="X16" s="19">
        <v>1</v>
      </c>
      <c r="Y16" s="19">
        <v>0</v>
      </c>
      <c r="Z16" s="19">
        <v>1</v>
      </c>
      <c r="AA16" s="19">
        <v>0</v>
      </c>
      <c r="AB16" s="19">
        <v>1</v>
      </c>
      <c r="AC16" s="19">
        <v>1</v>
      </c>
      <c r="AD16" s="19">
        <v>1</v>
      </c>
      <c r="AE16" s="19">
        <v>1</v>
      </c>
      <c r="AF16" s="19">
        <v>0</v>
      </c>
      <c r="AG16" s="19">
        <v>1</v>
      </c>
      <c r="AH16" s="19">
        <v>0.5</v>
      </c>
    </row>
    <row r="17" spans="1:34" x14ac:dyDescent="0.3">
      <c r="A17" s="18" t="s">
        <v>35</v>
      </c>
      <c r="B17" s="19">
        <v>0</v>
      </c>
      <c r="C17" s="19">
        <v>1</v>
      </c>
      <c r="D17" s="19">
        <v>1</v>
      </c>
      <c r="E17" s="19">
        <v>0</v>
      </c>
      <c r="F17" s="19">
        <v>0</v>
      </c>
      <c r="G17" s="19">
        <v>1</v>
      </c>
      <c r="H17" s="19">
        <v>0.5</v>
      </c>
      <c r="I17" s="19">
        <v>1</v>
      </c>
      <c r="J17" s="19">
        <v>0.4</v>
      </c>
      <c r="K17" s="19">
        <v>0.3</v>
      </c>
      <c r="L17" s="19">
        <v>0</v>
      </c>
      <c r="M17" s="19">
        <v>0.2</v>
      </c>
      <c r="N17" s="19">
        <v>0.2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1</v>
      </c>
      <c r="U17" s="19">
        <v>1</v>
      </c>
      <c r="V17" s="19">
        <v>1</v>
      </c>
      <c r="W17" s="19">
        <v>0</v>
      </c>
      <c r="X17" s="19">
        <v>1</v>
      </c>
      <c r="Y17" s="19">
        <v>1</v>
      </c>
      <c r="Z17" s="19">
        <v>1</v>
      </c>
      <c r="AA17" s="19">
        <v>0</v>
      </c>
      <c r="AB17" s="19">
        <v>1</v>
      </c>
      <c r="AC17" s="19">
        <v>1</v>
      </c>
      <c r="AD17" s="19">
        <v>1</v>
      </c>
      <c r="AE17" s="19">
        <v>1</v>
      </c>
      <c r="AF17" s="19">
        <v>1</v>
      </c>
      <c r="AG17" s="19">
        <v>1</v>
      </c>
      <c r="AH17" s="19">
        <v>1</v>
      </c>
    </row>
    <row r="18" spans="1:34" x14ac:dyDescent="0.3">
      <c r="A18" s="18" t="s">
        <v>35</v>
      </c>
      <c r="B18" s="19">
        <v>0.3</v>
      </c>
      <c r="C18" s="19">
        <v>0</v>
      </c>
      <c r="D18" s="19">
        <v>0</v>
      </c>
      <c r="E18" s="19">
        <v>0.7</v>
      </c>
      <c r="F18" s="19">
        <v>0</v>
      </c>
      <c r="G18" s="19">
        <v>1</v>
      </c>
      <c r="H18" s="19">
        <v>0.5</v>
      </c>
      <c r="I18" s="19">
        <v>1</v>
      </c>
      <c r="J18" s="19">
        <v>0.4</v>
      </c>
      <c r="K18" s="19">
        <v>0</v>
      </c>
      <c r="L18" s="19">
        <v>0</v>
      </c>
      <c r="M18" s="19">
        <v>0</v>
      </c>
      <c r="N18" s="19">
        <v>0.5</v>
      </c>
      <c r="O18" s="19">
        <v>0</v>
      </c>
      <c r="P18" s="19">
        <v>0</v>
      </c>
      <c r="Q18" s="19">
        <v>0</v>
      </c>
      <c r="R18" s="19">
        <v>1</v>
      </c>
      <c r="S18" s="19">
        <v>1</v>
      </c>
      <c r="T18" s="19">
        <v>1</v>
      </c>
      <c r="U18" s="19">
        <v>1</v>
      </c>
      <c r="V18" s="19">
        <v>1</v>
      </c>
      <c r="W18" s="19">
        <v>0</v>
      </c>
      <c r="X18" s="19">
        <v>1</v>
      </c>
      <c r="Y18" s="19">
        <v>1</v>
      </c>
      <c r="Z18" s="19">
        <v>0</v>
      </c>
      <c r="AA18" s="19">
        <v>1</v>
      </c>
      <c r="AB18" s="19">
        <v>1</v>
      </c>
      <c r="AC18" s="19">
        <v>1</v>
      </c>
      <c r="AD18" s="19">
        <v>1</v>
      </c>
      <c r="AE18" s="19">
        <v>1</v>
      </c>
      <c r="AF18" s="19">
        <v>0</v>
      </c>
      <c r="AG18" s="19">
        <v>1</v>
      </c>
      <c r="AH18" s="19">
        <v>1</v>
      </c>
    </row>
    <row r="19" spans="1:34" x14ac:dyDescent="0.3">
      <c r="A19" s="18" t="s">
        <v>35</v>
      </c>
      <c r="B19" s="19">
        <v>0.5</v>
      </c>
      <c r="C19" s="19">
        <v>0</v>
      </c>
      <c r="D19" s="19">
        <v>0</v>
      </c>
      <c r="E19" s="19">
        <v>0</v>
      </c>
      <c r="F19" s="19">
        <v>0</v>
      </c>
      <c r="G19" s="19">
        <v>1</v>
      </c>
      <c r="H19" s="19">
        <v>0.5</v>
      </c>
      <c r="I19" s="19">
        <v>1</v>
      </c>
      <c r="J19" s="19">
        <v>0.6</v>
      </c>
      <c r="K19" s="19">
        <v>0</v>
      </c>
      <c r="L19" s="19">
        <v>0</v>
      </c>
      <c r="M19" s="19">
        <v>0.2</v>
      </c>
      <c r="N19" s="19">
        <v>0.5</v>
      </c>
      <c r="O19" s="19">
        <v>0</v>
      </c>
      <c r="P19" s="19">
        <v>0</v>
      </c>
      <c r="Q19" s="19">
        <v>0</v>
      </c>
      <c r="R19" s="19">
        <v>1</v>
      </c>
      <c r="S19" s="19">
        <v>0</v>
      </c>
      <c r="T19" s="19">
        <v>1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19">
        <v>1</v>
      </c>
      <c r="AA19" s="19">
        <v>0</v>
      </c>
      <c r="AB19" s="19">
        <v>0</v>
      </c>
      <c r="AC19" s="19">
        <v>1</v>
      </c>
      <c r="AD19" s="19">
        <v>1</v>
      </c>
      <c r="AE19" s="19">
        <v>1</v>
      </c>
      <c r="AF19" s="19">
        <v>0</v>
      </c>
      <c r="AG19" s="19">
        <v>1</v>
      </c>
      <c r="AH19" s="19">
        <v>1</v>
      </c>
    </row>
    <row r="20" spans="1:34" x14ac:dyDescent="0.3">
      <c r="A20" s="18" t="s">
        <v>35</v>
      </c>
      <c r="B20" s="19">
        <v>0.5</v>
      </c>
      <c r="C20" s="19">
        <v>0</v>
      </c>
      <c r="D20" s="19">
        <v>0</v>
      </c>
      <c r="E20" s="19">
        <v>0.7</v>
      </c>
      <c r="F20" s="19">
        <v>0</v>
      </c>
      <c r="G20" s="19">
        <v>1</v>
      </c>
      <c r="H20" s="19">
        <v>0.5</v>
      </c>
      <c r="I20" s="19">
        <v>1</v>
      </c>
      <c r="J20" s="19">
        <v>0.4</v>
      </c>
      <c r="K20" s="19">
        <v>1</v>
      </c>
      <c r="L20" s="19">
        <v>0</v>
      </c>
      <c r="M20" s="19">
        <v>0.2</v>
      </c>
      <c r="N20" s="19">
        <v>0.5</v>
      </c>
      <c r="O20" s="19">
        <v>0</v>
      </c>
      <c r="P20" s="19">
        <v>0</v>
      </c>
      <c r="Q20" s="19">
        <v>0</v>
      </c>
      <c r="R20" s="19">
        <v>1</v>
      </c>
      <c r="S20" s="19">
        <v>0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0</v>
      </c>
      <c r="AB20" s="19">
        <v>1</v>
      </c>
      <c r="AC20" s="19">
        <v>1</v>
      </c>
      <c r="AD20" s="19">
        <v>1</v>
      </c>
      <c r="AE20" s="19">
        <v>1</v>
      </c>
      <c r="AF20" s="19">
        <v>0</v>
      </c>
      <c r="AG20" s="19">
        <v>1</v>
      </c>
      <c r="AH20" s="19">
        <v>1</v>
      </c>
    </row>
    <row r="21" spans="1:34" x14ac:dyDescent="0.3">
      <c r="A21" s="18" t="s">
        <v>34</v>
      </c>
      <c r="B21" s="19">
        <v>0.5</v>
      </c>
      <c r="C21" s="19">
        <v>0</v>
      </c>
      <c r="D21" s="19">
        <v>0</v>
      </c>
      <c r="E21" s="19">
        <v>0.7</v>
      </c>
      <c r="F21" s="19">
        <v>0.3</v>
      </c>
      <c r="G21" s="19">
        <v>1</v>
      </c>
      <c r="H21" s="19">
        <v>0.5</v>
      </c>
      <c r="I21" s="19">
        <v>0</v>
      </c>
      <c r="J21" s="19">
        <v>0.2</v>
      </c>
      <c r="K21" s="19">
        <v>0.44444444444444398</v>
      </c>
      <c r="L21" s="19">
        <v>1</v>
      </c>
      <c r="M21" s="19">
        <v>0.26216216216216198</v>
      </c>
      <c r="N21" s="19">
        <v>0.5</v>
      </c>
      <c r="O21" s="19">
        <v>1</v>
      </c>
      <c r="P21" s="19">
        <v>1</v>
      </c>
      <c r="Q21" s="19">
        <v>0.75</v>
      </c>
      <c r="R21" s="19">
        <v>1</v>
      </c>
      <c r="S21" s="19">
        <v>1</v>
      </c>
      <c r="T21" s="19">
        <v>1</v>
      </c>
      <c r="U21" s="19">
        <v>1</v>
      </c>
      <c r="V21" s="19">
        <v>1</v>
      </c>
      <c r="W21" s="19">
        <v>1</v>
      </c>
      <c r="X21" s="19">
        <v>1</v>
      </c>
      <c r="Y21" s="19">
        <v>1</v>
      </c>
      <c r="Z21" s="19">
        <v>1</v>
      </c>
      <c r="AA21" s="19">
        <v>1</v>
      </c>
      <c r="AB21" s="19">
        <v>1</v>
      </c>
      <c r="AC21" s="19">
        <v>1</v>
      </c>
      <c r="AD21" s="19">
        <v>1</v>
      </c>
      <c r="AE21" s="19">
        <v>1</v>
      </c>
      <c r="AF21" s="19">
        <v>1</v>
      </c>
      <c r="AG21" s="19">
        <v>1</v>
      </c>
      <c r="AH21" s="19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/>
  </sheetViews>
  <sheetFormatPr defaultRowHeight="15" x14ac:dyDescent="0.25"/>
  <sheetData>
    <row r="1" spans="1:34" x14ac:dyDescent="0.3">
      <c r="A1" s="14" t="s">
        <v>33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</row>
    <row r="2" spans="1:34" x14ac:dyDescent="0.3">
      <c r="A2" s="15" t="s">
        <v>34</v>
      </c>
      <c r="B2" s="15">
        <v>0.7</v>
      </c>
      <c r="C2" s="15">
        <v>0.2</v>
      </c>
      <c r="D2" s="15">
        <v>0.3</v>
      </c>
      <c r="E2" s="15">
        <v>0.7</v>
      </c>
      <c r="F2" s="15">
        <v>0.3</v>
      </c>
      <c r="G2" s="15">
        <v>1</v>
      </c>
      <c r="H2" s="15">
        <v>0.5</v>
      </c>
      <c r="I2" s="15">
        <v>1</v>
      </c>
      <c r="J2" s="15">
        <v>0.2</v>
      </c>
      <c r="K2" s="15">
        <v>0</v>
      </c>
      <c r="L2" s="15">
        <v>0</v>
      </c>
      <c r="M2" s="15">
        <v>0.2</v>
      </c>
      <c r="N2" s="15">
        <v>0.5</v>
      </c>
      <c r="O2" s="15">
        <v>0</v>
      </c>
      <c r="P2" s="15">
        <v>0</v>
      </c>
      <c r="Q2" s="15">
        <v>0</v>
      </c>
      <c r="R2" s="15">
        <v>1</v>
      </c>
      <c r="S2" s="15">
        <v>0</v>
      </c>
      <c r="T2" s="15">
        <v>1</v>
      </c>
      <c r="U2" s="15">
        <v>1</v>
      </c>
      <c r="V2" s="15">
        <v>1</v>
      </c>
      <c r="W2" s="15">
        <v>0</v>
      </c>
      <c r="X2" s="15">
        <v>1</v>
      </c>
      <c r="Y2" s="15">
        <v>1</v>
      </c>
      <c r="Z2" s="15">
        <v>1</v>
      </c>
      <c r="AA2" s="15">
        <v>0</v>
      </c>
      <c r="AB2" s="15">
        <v>1</v>
      </c>
      <c r="AC2" s="15">
        <v>1</v>
      </c>
      <c r="AD2" s="15">
        <v>1</v>
      </c>
      <c r="AE2" s="15">
        <v>1</v>
      </c>
      <c r="AF2" s="15">
        <v>1</v>
      </c>
      <c r="AG2" s="15">
        <v>1</v>
      </c>
      <c r="AH2" s="15">
        <v>0.5</v>
      </c>
    </row>
    <row r="3" spans="1:34" x14ac:dyDescent="0.3">
      <c r="A3" s="15" t="s">
        <v>35</v>
      </c>
      <c r="B3" s="15">
        <v>0.5</v>
      </c>
      <c r="C3" s="15">
        <v>0.1</v>
      </c>
      <c r="D3" s="15">
        <v>0.2</v>
      </c>
      <c r="E3" s="15">
        <v>0.5</v>
      </c>
      <c r="F3" s="15">
        <v>0.1</v>
      </c>
      <c r="G3" s="15">
        <v>0.9</v>
      </c>
      <c r="H3" s="15">
        <v>0.55416666666666603</v>
      </c>
      <c r="I3" s="15">
        <v>0.848101265822784</v>
      </c>
      <c r="J3" s="15">
        <v>0.42278481012658198</v>
      </c>
      <c r="K3" s="15">
        <v>0.13055555555555501</v>
      </c>
      <c r="L3" s="15">
        <v>0.05</v>
      </c>
      <c r="M3" s="15">
        <v>0.26216216216216198</v>
      </c>
      <c r="N3" s="15">
        <v>0.515625</v>
      </c>
      <c r="O3" s="15">
        <v>7.4999999999999997E-2</v>
      </c>
      <c r="P3" s="15">
        <v>5.0632911392405E-2</v>
      </c>
      <c r="Q3" s="15">
        <v>9.9999999999999895E-2</v>
      </c>
      <c r="R3" s="15">
        <v>0.938271604938271</v>
      </c>
      <c r="S3" s="15">
        <v>0.38271604938271597</v>
      </c>
      <c r="T3" s="15">
        <v>0.96296296296296302</v>
      </c>
      <c r="U3" s="15">
        <v>1</v>
      </c>
      <c r="V3" s="15">
        <v>1</v>
      </c>
      <c r="W3" s="15">
        <v>0.12345679012345601</v>
      </c>
      <c r="X3" s="15">
        <v>0.96296296296296302</v>
      </c>
      <c r="Y3" s="15">
        <v>0.95061728395061695</v>
      </c>
      <c r="Z3" s="15">
        <v>0.75308641975308599</v>
      </c>
      <c r="AA3" s="15">
        <v>0.35802469135802401</v>
      </c>
      <c r="AB3" s="15">
        <v>0.98765432098765404</v>
      </c>
      <c r="AC3" s="15">
        <v>1</v>
      </c>
      <c r="AD3" s="15">
        <v>0.97530864197530798</v>
      </c>
      <c r="AE3" s="15">
        <v>1</v>
      </c>
      <c r="AF3" s="15">
        <v>0.46249999999999902</v>
      </c>
      <c r="AG3" s="15">
        <v>1</v>
      </c>
      <c r="AH3" s="15">
        <v>0.89610389610389596</v>
      </c>
    </row>
    <row r="4" spans="1:34" x14ac:dyDescent="0.3">
      <c r="A4" s="15" t="s">
        <v>35</v>
      </c>
      <c r="B4" s="15">
        <v>0</v>
      </c>
      <c r="C4" s="15">
        <v>0.1</v>
      </c>
      <c r="D4" s="15">
        <v>0.2</v>
      </c>
      <c r="E4" s="15">
        <v>0.5</v>
      </c>
      <c r="F4" s="15">
        <v>0.1</v>
      </c>
      <c r="G4" s="15">
        <v>0.9</v>
      </c>
      <c r="H4" s="15">
        <v>0.55416666666666603</v>
      </c>
      <c r="I4" s="15">
        <v>0.848101265822784</v>
      </c>
      <c r="J4" s="15">
        <v>0.42278481012658198</v>
      </c>
      <c r="K4" s="15">
        <v>0.13055555555555501</v>
      </c>
      <c r="L4" s="15">
        <v>0.05</v>
      </c>
      <c r="M4" s="15">
        <v>0.26216216216216198</v>
      </c>
      <c r="N4" s="15">
        <v>0.515625</v>
      </c>
      <c r="O4" s="15">
        <v>7.4999999999999997E-2</v>
      </c>
      <c r="P4" s="15">
        <v>5.0632911392405E-2</v>
      </c>
      <c r="Q4" s="15">
        <v>9.9999999999999895E-2</v>
      </c>
      <c r="R4" s="15">
        <v>0.938271604938271</v>
      </c>
      <c r="S4" s="15">
        <v>0.38271604938271597</v>
      </c>
      <c r="T4" s="15">
        <v>0.96296296296296302</v>
      </c>
      <c r="U4" s="15">
        <v>1</v>
      </c>
      <c r="V4" s="15">
        <v>1</v>
      </c>
      <c r="W4" s="15">
        <v>0.12345679012345601</v>
      </c>
      <c r="X4" s="15">
        <v>0.96296296296296302</v>
      </c>
      <c r="Y4" s="15">
        <v>0.95061728395061695</v>
      </c>
      <c r="Z4" s="15">
        <v>0.75308641975308599</v>
      </c>
      <c r="AA4" s="15">
        <v>0.35802469135802401</v>
      </c>
      <c r="AB4" s="15">
        <v>0.98765432098765404</v>
      </c>
      <c r="AC4" s="15">
        <v>1</v>
      </c>
      <c r="AD4" s="15">
        <v>0.97530864197530798</v>
      </c>
      <c r="AE4" s="15">
        <v>1</v>
      </c>
      <c r="AF4" s="15">
        <v>0.46249999999999902</v>
      </c>
      <c r="AG4" s="15">
        <v>1</v>
      </c>
      <c r="AH4" s="15">
        <v>0.89610389610389596</v>
      </c>
    </row>
    <row r="5" spans="1:34" x14ac:dyDescent="0.3">
      <c r="A5" s="15" t="s">
        <v>35</v>
      </c>
      <c r="B5" s="15">
        <v>0</v>
      </c>
      <c r="C5" s="15">
        <v>0.1</v>
      </c>
      <c r="D5" s="15">
        <v>0.2</v>
      </c>
      <c r="E5" s="15">
        <v>0.5</v>
      </c>
      <c r="F5" s="15">
        <v>0.1</v>
      </c>
      <c r="G5" s="15">
        <v>0.9</v>
      </c>
      <c r="H5" s="15">
        <v>0.55416666666666603</v>
      </c>
      <c r="I5" s="15">
        <v>0.848101265822784</v>
      </c>
      <c r="J5" s="15">
        <v>0.42278481012658198</v>
      </c>
      <c r="K5" s="15">
        <v>0.13055555555555501</v>
      </c>
      <c r="L5" s="15">
        <v>0.05</v>
      </c>
      <c r="M5" s="15">
        <v>0.26216216216216198</v>
      </c>
      <c r="N5" s="15">
        <v>0.515625</v>
      </c>
      <c r="O5" s="15">
        <v>7.4999999999999997E-2</v>
      </c>
      <c r="P5" s="15">
        <v>5.0632911392405E-2</v>
      </c>
      <c r="Q5" s="15">
        <v>9.9999999999999895E-2</v>
      </c>
      <c r="R5" s="15">
        <v>0.938271604938271</v>
      </c>
      <c r="S5" s="15">
        <v>0.38271604938271597</v>
      </c>
      <c r="T5" s="15">
        <v>0.96296296296296302</v>
      </c>
      <c r="U5" s="15">
        <v>1</v>
      </c>
      <c r="V5" s="15">
        <v>1</v>
      </c>
      <c r="W5" s="15">
        <v>0.12345679012345601</v>
      </c>
      <c r="X5" s="15">
        <v>0.96296296296296302</v>
      </c>
      <c r="Y5" s="15">
        <v>0.95061728395061695</v>
      </c>
      <c r="Z5" s="15">
        <v>0.75308641975308599</v>
      </c>
      <c r="AA5" s="15">
        <v>0.35802469135802401</v>
      </c>
      <c r="AB5" s="15">
        <v>0.98765432098765404</v>
      </c>
      <c r="AC5" s="15">
        <v>1</v>
      </c>
      <c r="AD5" s="15">
        <v>0.97530864197530798</v>
      </c>
      <c r="AE5" s="15">
        <v>1</v>
      </c>
      <c r="AF5" s="15">
        <v>0.46249999999999902</v>
      </c>
      <c r="AG5" s="15">
        <v>1</v>
      </c>
      <c r="AH5" s="15">
        <v>0.89610389610389596</v>
      </c>
    </row>
    <row r="6" spans="1:34" x14ac:dyDescent="0.3">
      <c r="A6" s="15" t="s">
        <v>35</v>
      </c>
      <c r="B6" s="15">
        <v>0</v>
      </c>
      <c r="C6" s="15">
        <v>0.1</v>
      </c>
      <c r="D6" s="15">
        <v>0.2</v>
      </c>
      <c r="E6" s="15">
        <v>0.5</v>
      </c>
      <c r="F6" s="15">
        <v>0.1</v>
      </c>
      <c r="G6" s="15">
        <v>0.9</v>
      </c>
      <c r="H6" s="15">
        <v>0.55416666666666603</v>
      </c>
      <c r="I6" s="15">
        <v>0.848101265822784</v>
      </c>
      <c r="J6" s="15">
        <v>0.42278481012658198</v>
      </c>
      <c r="K6" s="15">
        <v>0.13055555555555501</v>
      </c>
      <c r="L6" s="15">
        <v>0.05</v>
      </c>
      <c r="M6" s="15">
        <v>0.26216216216216198</v>
      </c>
      <c r="N6" s="15">
        <v>0.515625</v>
      </c>
      <c r="O6" s="15">
        <v>7.4999999999999997E-2</v>
      </c>
      <c r="P6" s="15">
        <v>5.0632911392405E-2</v>
      </c>
      <c r="Q6" s="15">
        <v>9.9999999999999895E-2</v>
      </c>
      <c r="R6" s="15">
        <v>0.938271604938271</v>
      </c>
      <c r="S6" s="15">
        <v>0.38271604938271597</v>
      </c>
      <c r="T6" s="15">
        <v>0.96296296296296302</v>
      </c>
      <c r="U6" s="15">
        <v>1</v>
      </c>
      <c r="V6" s="15">
        <v>1</v>
      </c>
      <c r="W6" s="15">
        <v>0.12345679012345601</v>
      </c>
      <c r="X6" s="15">
        <v>0.96296296296296302</v>
      </c>
      <c r="Y6" s="15">
        <v>0.95061728395061695</v>
      </c>
      <c r="Z6" s="15">
        <v>0.75308641975308599</v>
      </c>
      <c r="AA6" s="15">
        <v>0.35802469135802401</v>
      </c>
      <c r="AB6" s="15">
        <v>0.98765432098765404</v>
      </c>
      <c r="AC6" s="15">
        <v>1</v>
      </c>
      <c r="AD6" s="15">
        <v>0.97530864197530798</v>
      </c>
      <c r="AE6" s="15">
        <v>1</v>
      </c>
      <c r="AF6" s="15">
        <v>0.46249999999999902</v>
      </c>
      <c r="AG6" s="15">
        <v>1</v>
      </c>
      <c r="AH6" s="15">
        <v>0.89610389610389596</v>
      </c>
    </row>
    <row r="7" spans="1:34" x14ac:dyDescent="0.3">
      <c r="A7" s="15" t="s">
        <v>35</v>
      </c>
      <c r="B7" s="15">
        <v>0</v>
      </c>
      <c r="C7" s="15">
        <v>0.1</v>
      </c>
      <c r="D7" s="15">
        <v>0.2</v>
      </c>
      <c r="E7" s="15">
        <v>0.5</v>
      </c>
      <c r="F7" s="15">
        <v>0.1</v>
      </c>
      <c r="G7" s="15">
        <v>0.9</v>
      </c>
      <c r="H7" s="15">
        <v>0.55416666666666603</v>
      </c>
      <c r="I7" s="15">
        <v>0.848101265822784</v>
      </c>
      <c r="J7" s="15">
        <v>0.42278481012658198</v>
      </c>
      <c r="K7" s="15">
        <v>0.13055555555555501</v>
      </c>
      <c r="L7" s="15">
        <v>0.05</v>
      </c>
      <c r="M7" s="15">
        <v>0.26216216216216198</v>
      </c>
      <c r="N7" s="15">
        <v>0.515625</v>
      </c>
      <c r="O7" s="15">
        <v>7.4999999999999997E-2</v>
      </c>
      <c r="P7" s="15">
        <v>5.0632911392405E-2</v>
      </c>
      <c r="Q7" s="15">
        <v>9.9999999999999895E-2</v>
      </c>
      <c r="R7" s="15">
        <v>0.938271604938271</v>
      </c>
      <c r="S7" s="15">
        <v>0.38271604938271597</v>
      </c>
      <c r="T7" s="15">
        <v>0.96296296296296302</v>
      </c>
      <c r="U7" s="15">
        <v>1</v>
      </c>
      <c r="V7" s="15">
        <v>1</v>
      </c>
      <c r="W7" s="15">
        <v>0.12345679012345601</v>
      </c>
      <c r="X7" s="15">
        <v>0.96296296296296302</v>
      </c>
      <c r="Y7" s="15">
        <v>0.95061728395061695</v>
      </c>
      <c r="Z7" s="15">
        <v>0.75308641975308599</v>
      </c>
      <c r="AA7" s="15">
        <v>0.35802469135802401</v>
      </c>
      <c r="AB7" s="15">
        <v>0.98765432098765404</v>
      </c>
      <c r="AC7" s="15">
        <v>1</v>
      </c>
      <c r="AD7" s="15">
        <v>0.97530864197530798</v>
      </c>
      <c r="AE7" s="15">
        <v>1</v>
      </c>
      <c r="AF7" s="15">
        <v>0.46249999999999902</v>
      </c>
      <c r="AG7" s="15">
        <v>1</v>
      </c>
      <c r="AH7" s="15">
        <v>0.89610389610389596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selection activeCell="B5" sqref="B5"/>
    </sheetView>
  </sheetViews>
  <sheetFormatPr defaultRowHeight="15" x14ac:dyDescent="0.25"/>
  <sheetData>
    <row r="1" spans="1:34" x14ac:dyDescent="0.3">
      <c r="A1" s="16" t="s">
        <v>33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  <c r="AE1" s="16" t="s">
        <v>29</v>
      </c>
      <c r="AF1" s="16" t="s">
        <v>30</v>
      </c>
      <c r="AG1" s="16" t="s">
        <v>31</v>
      </c>
      <c r="AH1" s="16" t="s">
        <v>32</v>
      </c>
    </row>
    <row r="2" spans="1:34" x14ac:dyDescent="0.3">
      <c r="A2" s="17" t="s">
        <v>35</v>
      </c>
      <c r="B2" s="17">
        <v>0.5</v>
      </c>
      <c r="C2" s="17">
        <v>0.2</v>
      </c>
      <c r="D2" s="17">
        <v>0.3</v>
      </c>
      <c r="E2" s="17">
        <v>0.7</v>
      </c>
      <c r="F2" s="17">
        <v>0.3</v>
      </c>
      <c r="G2" s="17">
        <v>1</v>
      </c>
      <c r="H2" s="17">
        <v>0.5</v>
      </c>
      <c r="I2" s="17">
        <v>1</v>
      </c>
      <c r="J2" s="17">
        <v>0.2</v>
      </c>
      <c r="K2" s="17">
        <v>0</v>
      </c>
      <c r="L2" s="17">
        <v>0</v>
      </c>
      <c r="M2" s="17">
        <v>0.2</v>
      </c>
      <c r="N2" s="17">
        <v>0.5</v>
      </c>
      <c r="O2" s="17">
        <v>0</v>
      </c>
      <c r="P2" s="17">
        <v>0</v>
      </c>
      <c r="Q2" s="17">
        <v>0</v>
      </c>
      <c r="R2" s="17">
        <v>1</v>
      </c>
      <c r="S2" s="17">
        <v>0</v>
      </c>
      <c r="T2" s="17">
        <v>1</v>
      </c>
      <c r="U2" s="17">
        <v>1</v>
      </c>
      <c r="V2" s="17">
        <v>1</v>
      </c>
      <c r="W2" s="17">
        <v>0</v>
      </c>
      <c r="X2" s="17">
        <v>1</v>
      </c>
      <c r="Y2" s="17">
        <v>1</v>
      </c>
      <c r="Z2" s="17">
        <v>1</v>
      </c>
      <c r="AA2" s="17">
        <v>0</v>
      </c>
      <c r="AB2" s="17">
        <v>1</v>
      </c>
      <c r="AC2" s="17">
        <v>1</v>
      </c>
      <c r="AD2" s="17">
        <v>1</v>
      </c>
      <c r="AE2" s="17">
        <v>1</v>
      </c>
      <c r="AF2" s="17">
        <v>1</v>
      </c>
      <c r="AG2" s="17">
        <v>1</v>
      </c>
      <c r="AH2" s="17">
        <v>1</v>
      </c>
    </row>
    <row r="3" spans="1:34" x14ac:dyDescent="0.3">
      <c r="A3" s="17" t="s">
        <v>35</v>
      </c>
      <c r="B3" s="17">
        <v>0</v>
      </c>
      <c r="C3" s="17">
        <v>0.1</v>
      </c>
      <c r="D3" s="17">
        <v>0.2</v>
      </c>
      <c r="E3" s="17">
        <v>0.5</v>
      </c>
      <c r="F3" s="17">
        <v>0.1</v>
      </c>
      <c r="G3" s="17">
        <v>0.9</v>
      </c>
      <c r="H3" s="17">
        <v>0.55416666666666603</v>
      </c>
      <c r="I3" s="17">
        <v>0.848101265822784</v>
      </c>
      <c r="J3" s="17">
        <v>0.42278481012658198</v>
      </c>
      <c r="K3" s="17">
        <v>0.13055555555555501</v>
      </c>
      <c r="L3" s="17">
        <v>0.05</v>
      </c>
      <c r="M3" s="17">
        <v>0.26216216216216198</v>
      </c>
      <c r="N3" s="17">
        <v>0.515625</v>
      </c>
      <c r="O3" s="17">
        <v>7.4999999999999997E-2</v>
      </c>
      <c r="P3" s="17">
        <v>5.0632911392405E-2</v>
      </c>
      <c r="Q3" s="17">
        <v>9.9999999999999895E-2</v>
      </c>
      <c r="R3" s="17">
        <v>0.938271604938271</v>
      </c>
      <c r="S3" s="17">
        <v>0.38271604938271597</v>
      </c>
      <c r="T3" s="17">
        <v>0.96296296296296302</v>
      </c>
      <c r="U3" s="17">
        <v>1</v>
      </c>
      <c r="V3" s="17">
        <v>1</v>
      </c>
      <c r="W3" s="17">
        <v>0.12345679012345601</v>
      </c>
      <c r="X3" s="17">
        <v>0.96296296296296302</v>
      </c>
      <c r="Y3" s="17">
        <v>0.95061728395061695</v>
      </c>
      <c r="Z3" s="17">
        <v>0.75308641975308599</v>
      </c>
      <c r="AA3" s="17">
        <v>0.35802469135802401</v>
      </c>
      <c r="AB3" s="17">
        <v>0.98765432098765404</v>
      </c>
      <c r="AC3" s="17">
        <v>1</v>
      </c>
      <c r="AD3" s="17">
        <v>0.97530864197530798</v>
      </c>
      <c r="AE3" s="17">
        <v>1</v>
      </c>
      <c r="AF3" s="17">
        <v>0.46249999999999902</v>
      </c>
      <c r="AG3" s="17">
        <v>1</v>
      </c>
      <c r="AH3" s="17">
        <v>0.89610389610389596</v>
      </c>
    </row>
    <row r="4" spans="1:34" x14ac:dyDescent="0.3">
      <c r="A4" s="17" t="s">
        <v>35</v>
      </c>
      <c r="B4" s="17">
        <v>0.2</v>
      </c>
      <c r="C4" s="17">
        <v>0</v>
      </c>
      <c r="D4" s="17">
        <v>0</v>
      </c>
      <c r="E4" s="17">
        <v>0</v>
      </c>
      <c r="F4" s="17">
        <v>0</v>
      </c>
      <c r="G4" s="17">
        <v>1</v>
      </c>
      <c r="H4" s="17">
        <v>0.5</v>
      </c>
      <c r="I4" s="17">
        <v>1</v>
      </c>
      <c r="J4" s="17">
        <v>0.4</v>
      </c>
      <c r="K4" s="17">
        <v>1</v>
      </c>
      <c r="L4" s="17">
        <v>0</v>
      </c>
      <c r="M4" s="17">
        <v>0</v>
      </c>
      <c r="N4" s="17">
        <v>0.5</v>
      </c>
      <c r="O4" s="17">
        <v>0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0</v>
      </c>
      <c r="AA4" s="17">
        <v>1</v>
      </c>
      <c r="AB4" s="17">
        <v>1</v>
      </c>
      <c r="AC4" s="17">
        <v>1</v>
      </c>
      <c r="AD4" s="17">
        <v>1</v>
      </c>
      <c r="AE4" s="17">
        <v>1</v>
      </c>
      <c r="AF4" s="17">
        <v>0</v>
      </c>
      <c r="AG4" s="17">
        <v>1</v>
      </c>
      <c r="AH4" s="17">
        <v>1</v>
      </c>
    </row>
    <row r="5" spans="1:34" x14ac:dyDescent="0.3">
      <c r="A5" s="17" t="s">
        <v>34</v>
      </c>
      <c r="B5" s="17">
        <v>0.5</v>
      </c>
      <c r="C5" s="17">
        <v>0</v>
      </c>
      <c r="D5" s="17">
        <v>0</v>
      </c>
      <c r="E5" s="17">
        <v>1</v>
      </c>
      <c r="F5" s="17">
        <v>0.3</v>
      </c>
      <c r="G5" s="17">
        <v>1</v>
      </c>
      <c r="H5" s="17">
        <v>0.5</v>
      </c>
      <c r="I5" s="17">
        <v>1</v>
      </c>
      <c r="J5" s="17">
        <v>0.4</v>
      </c>
      <c r="K5" s="17">
        <v>0</v>
      </c>
      <c r="L5" s="17">
        <v>0</v>
      </c>
      <c r="M5" s="17">
        <v>0.2</v>
      </c>
      <c r="N5" s="17">
        <v>0.5</v>
      </c>
      <c r="O5" s="17">
        <v>0</v>
      </c>
      <c r="P5" s="17">
        <v>0</v>
      </c>
      <c r="Q5" s="17">
        <v>0</v>
      </c>
      <c r="R5" s="17">
        <v>1</v>
      </c>
      <c r="S5" s="17">
        <v>1</v>
      </c>
      <c r="T5" s="17">
        <v>1</v>
      </c>
      <c r="U5" s="17">
        <v>1</v>
      </c>
      <c r="V5" s="17">
        <v>1</v>
      </c>
      <c r="W5" s="17">
        <v>0</v>
      </c>
      <c r="X5" s="17">
        <v>1</v>
      </c>
      <c r="Y5" s="17">
        <v>1</v>
      </c>
      <c r="Z5" s="17">
        <v>1</v>
      </c>
      <c r="AA5" s="17">
        <v>0</v>
      </c>
      <c r="AB5" s="17">
        <v>1</v>
      </c>
      <c r="AC5" s="17">
        <v>1</v>
      </c>
      <c r="AD5" s="17">
        <v>1</v>
      </c>
      <c r="AE5" s="17">
        <v>1</v>
      </c>
      <c r="AF5" s="17">
        <v>0</v>
      </c>
      <c r="AG5" s="17">
        <v>1</v>
      </c>
      <c r="AH5" s="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9"/>
  <sheetViews>
    <sheetView tabSelected="1" topLeftCell="A123" zoomScaleNormal="100" workbookViewId="0">
      <selection activeCell="I133" sqref="I133"/>
    </sheetView>
  </sheetViews>
  <sheetFormatPr defaultRowHeight="15" x14ac:dyDescent="0.25"/>
  <cols>
    <col min="1" max="1" width="18.140625" customWidth="1"/>
    <col min="2" max="2" width="48.28515625" customWidth="1"/>
    <col min="3" max="3" width="11.28515625" customWidth="1"/>
    <col min="4" max="4" width="13.5703125" customWidth="1"/>
    <col min="5" max="35" width="9" bestFit="1" customWidth="1"/>
    <col min="36" max="36" width="42" style="40" customWidth="1"/>
  </cols>
  <sheetData>
    <row r="1" spans="1:35" ht="14.45" x14ac:dyDescent="0.3">
      <c r="A1" s="3" t="s">
        <v>36</v>
      </c>
      <c r="B1" s="3"/>
      <c r="C1" s="3"/>
      <c r="D1" s="3"/>
      <c r="E1" s="3"/>
      <c r="F1" s="3"/>
      <c r="G1" s="3"/>
      <c r="H1" s="3"/>
    </row>
    <row r="3" spans="1:35" ht="14.45" x14ac:dyDescent="0.3">
      <c r="A3" s="24" t="s">
        <v>35</v>
      </c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  <c r="M3" s="24" t="s">
        <v>11</v>
      </c>
      <c r="N3" s="24" t="s">
        <v>12</v>
      </c>
      <c r="O3" s="24" t="s">
        <v>13</v>
      </c>
      <c r="P3" s="24" t="s">
        <v>14</v>
      </c>
      <c r="Q3" s="24" t="s">
        <v>15</v>
      </c>
      <c r="R3" s="24" t="s">
        <v>16</v>
      </c>
      <c r="S3" s="24" t="s">
        <v>17</v>
      </c>
      <c r="T3" s="24" t="s">
        <v>18</v>
      </c>
      <c r="U3" s="24" t="s">
        <v>19</v>
      </c>
      <c r="V3" s="24" t="s">
        <v>20</v>
      </c>
      <c r="W3" s="24" t="s">
        <v>21</v>
      </c>
      <c r="X3" s="24" t="s">
        <v>22</v>
      </c>
      <c r="Y3" s="24" t="s">
        <v>23</v>
      </c>
      <c r="Z3" s="24" t="s">
        <v>24</v>
      </c>
      <c r="AA3" s="24" t="s">
        <v>25</v>
      </c>
      <c r="AB3" s="24" t="s">
        <v>26</v>
      </c>
      <c r="AC3" s="24" t="s">
        <v>27</v>
      </c>
      <c r="AD3" s="24" t="s">
        <v>28</v>
      </c>
      <c r="AE3" s="24" t="s">
        <v>29</v>
      </c>
      <c r="AF3" s="24" t="s">
        <v>30</v>
      </c>
      <c r="AG3" s="24" t="s">
        <v>31</v>
      </c>
      <c r="AH3" s="24" t="s">
        <v>32</v>
      </c>
      <c r="AI3" s="24" t="s">
        <v>33</v>
      </c>
    </row>
    <row r="4" spans="1:35" ht="14.45" x14ac:dyDescent="0.3">
      <c r="A4" s="25" t="s">
        <v>43</v>
      </c>
      <c r="B4" s="25">
        <v>0.5</v>
      </c>
      <c r="C4" s="25">
        <v>0</v>
      </c>
      <c r="D4" s="25">
        <v>0</v>
      </c>
      <c r="E4" s="25">
        <v>0.7</v>
      </c>
      <c r="F4" s="25">
        <v>0</v>
      </c>
      <c r="G4" s="25">
        <v>1</v>
      </c>
      <c r="H4" s="25">
        <v>0.5</v>
      </c>
      <c r="I4" s="25">
        <v>1</v>
      </c>
      <c r="J4" s="25">
        <v>0.6</v>
      </c>
      <c r="K4" s="25">
        <v>0.3</v>
      </c>
      <c r="L4" s="25">
        <v>0</v>
      </c>
      <c r="M4" s="25">
        <v>0.2</v>
      </c>
      <c r="N4" s="25">
        <v>0.5</v>
      </c>
      <c r="O4" s="25">
        <v>0</v>
      </c>
      <c r="P4" s="25">
        <v>0</v>
      </c>
      <c r="Q4" s="25">
        <v>0</v>
      </c>
      <c r="R4" s="25">
        <v>1</v>
      </c>
      <c r="S4" s="25">
        <v>1</v>
      </c>
      <c r="T4" s="25">
        <v>1</v>
      </c>
      <c r="U4" s="25">
        <v>1</v>
      </c>
      <c r="V4" s="25">
        <v>1</v>
      </c>
      <c r="W4" s="25">
        <v>0</v>
      </c>
      <c r="X4" s="25">
        <v>1</v>
      </c>
      <c r="Y4" s="25">
        <v>1</v>
      </c>
      <c r="Z4" s="25">
        <v>1</v>
      </c>
      <c r="AA4" s="25">
        <v>0</v>
      </c>
      <c r="AB4" s="25">
        <v>1</v>
      </c>
      <c r="AC4" s="25">
        <v>1</v>
      </c>
      <c r="AD4" s="25">
        <v>1</v>
      </c>
      <c r="AE4" s="25">
        <v>1</v>
      </c>
      <c r="AF4" s="25">
        <v>0</v>
      </c>
      <c r="AG4" s="25">
        <v>1</v>
      </c>
      <c r="AH4" s="25">
        <v>1</v>
      </c>
      <c r="AI4" s="25" t="s">
        <v>34</v>
      </c>
    </row>
    <row r="5" spans="1:35" ht="14.45" x14ac:dyDescent="0.3">
      <c r="A5" s="25" t="s">
        <v>44</v>
      </c>
      <c r="B5" s="25">
        <v>0.3</v>
      </c>
      <c r="C5" s="25">
        <v>0.2</v>
      </c>
      <c r="D5" s="25">
        <v>0.3</v>
      </c>
      <c r="E5" s="25">
        <v>0</v>
      </c>
      <c r="F5" s="25">
        <v>0</v>
      </c>
      <c r="G5" s="25">
        <v>0</v>
      </c>
      <c r="H5" s="25">
        <v>0.5</v>
      </c>
      <c r="I5" s="25">
        <v>0</v>
      </c>
      <c r="J5" s="25">
        <v>0.4</v>
      </c>
      <c r="K5" s="25">
        <v>0</v>
      </c>
      <c r="L5" s="25">
        <v>0</v>
      </c>
      <c r="M5" s="25">
        <v>0.2</v>
      </c>
      <c r="N5" s="25">
        <v>0.5</v>
      </c>
      <c r="O5" s="25">
        <v>0</v>
      </c>
      <c r="P5" s="25">
        <v>0</v>
      </c>
      <c r="Q5" s="25">
        <v>0</v>
      </c>
      <c r="R5" s="25">
        <v>1</v>
      </c>
      <c r="S5" s="25">
        <v>0</v>
      </c>
      <c r="T5" s="25">
        <v>1</v>
      </c>
      <c r="U5" s="25">
        <v>1</v>
      </c>
      <c r="V5" s="25">
        <v>1</v>
      </c>
      <c r="W5" s="25">
        <v>0</v>
      </c>
      <c r="X5" s="25">
        <v>1</v>
      </c>
      <c r="Y5" s="25">
        <v>1</v>
      </c>
      <c r="Z5" s="25">
        <v>1</v>
      </c>
      <c r="AA5" s="25">
        <v>0</v>
      </c>
      <c r="AB5" s="25">
        <v>1</v>
      </c>
      <c r="AC5" s="25">
        <v>1</v>
      </c>
      <c r="AD5" s="25">
        <v>1</v>
      </c>
      <c r="AE5" s="25">
        <v>1</v>
      </c>
      <c r="AF5" s="25">
        <v>1</v>
      </c>
      <c r="AG5" s="25">
        <v>1</v>
      </c>
      <c r="AH5" s="25">
        <v>0.5</v>
      </c>
      <c r="AI5" s="25" t="s">
        <v>35</v>
      </c>
    </row>
    <row r="6" spans="1:35" ht="14.45" x14ac:dyDescent="0.3">
      <c r="A6" s="25" t="s">
        <v>45</v>
      </c>
      <c r="B6" s="25">
        <v>0.7</v>
      </c>
      <c r="C6" s="25">
        <v>0.2</v>
      </c>
      <c r="D6" s="25">
        <v>0.2</v>
      </c>
      <c r="E6" s="25">
        <v>0.7</v>
      </c>
      <c r="F6" s="25">
        <v>1</v>
      </c>
      <c r="G6" s="25">
        <v>0.9</v>
      </c>
      <c r="H6" s="25">
        <v>1</v>
      </c>
      <c r="I6" s="25">
        <v>0.848101265822784</v>
      </c>
      <c r="J6" s="25">
        <v>0.4</v>
      </c>
      <c r="K6" s="25">
        <v>0.5</v>
      </c>
      <c r="L6" s="25">
        <v>0.5</v>
      </c>
      <c r="M6" s="25">
        <v>0.26216216216216198</v>
      </c>
      <c r="N6" s="25">
        <v>0.5</v>
      </c>
      <c r="O6" s="25">
        <v>1</v>
      </c>
      <c r="P6" s="25">
        <v>5.0632911392405E-2</v>
      </c>
      <c r="Q6" s="25">
        <v>0.5</v>
      </c>
      <c r="R6" s="25">
        <v>1</v>
      </c>
      <c r="S6" s="25">
        <v>1</v>
      </c>
      <c r="T6" s="25">
        <v>1</v>
      </c>
      <c r="U6" s="25">
        <v>1</v>
      </c>
      <c r="V6" s="25">
        <v>1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25">
        <v>1</v>
      </c>
      <c r="AI6" s="25" t="s">
        <v>35</v>
      </c>
    </row>
    <row r="7" spans="1:35" ht="14.45" x14ac:dyDescent="0.3">
      <c r="A7" s="25" t="s">
        <v>46</v>
      </c>
      <c r="B7" s="25">
        <v>0.5</v>
      </c>
      <c r="C7" s="25">
        <v>0</v>
      </c>
      <c r="D7" s="25">
        <v>0</v>
      </c>
      <c r="E7" s="25">
        <v>1</v>
      </c>
      <c r="F7" s="25">
        <v>0.3</v>
      </c>
      <c r="G7" s="25">
        <v>1</v>
      </c>
      <c r="H7" s="25">
        <v>0.5</v>
      </c>
      <c r="I7" s="25">
        <v>1</v>
      </c>
      <c r="J7" s="25">
        <v>0.6</v>
      </c>
      <c r="K7" s="25">
        <v>1</v>
      </c>
      <c r="L7" s="25">
        <v>0</v>
      </c>
      <c r="M7" s="25">
        <v>0</v>
      </c>
      <c r="N7" s="25">
        <v>1</v>
      </c>
      <c r="O7" s="25">
        <v>0</v>
      </c>
      <c r="P7" s="25">
        <v>0</v>
      </c>
      <c r="Q7" s="25">
        <v>0</v>
      </c>
      <c r="R7" s="25">
        <v>1</v>
      </c>
      <c r="S7" s="25">
        <v>1</v>
      </c>
      <c r="T7" s="25">
        <v>1</v>
      </c>
      <c r="U7" s="25">
        <v>1</v>
      </c>
      <c r="V7" s="25">
        <v>1</v>
      </c>
      <c r="W7" s="25">
        <v>0</v>
      </c>
      <c r="X7" s="25">
        <v>1</v>
      </c>
      <c r="Y7" s="25">
        <v>1</v>
      </c>
      <c r="Z7" s="25">
        <v>0</v>
      </c>
      <c r="AA7" s="25">
        <v>1</v>
      </c>
      <c r="AB7" s="25">
        <v>1</v>
      </c>
      <c r="AC7" s="25">
        <v>1</v>
      </c>
      <c r="AD7" s="25">
        <v>1</v>
      </c>
      <c r="AE7" s="25">
        <v>1</v>
      </c>
      <c r="AF7" s="25">
        <v>0</v>
      </c>
      <c r="AG7" s="25">
        <v>1</v>
      </c>
      <c r="AH7" s="25">
        <v>1</v>
      </c>
      <c r="AI7" s="25" t="s">
        <v>35</v>
      </c>
    </row>
    <row r="8" spans="1:35" ht="14.45" x14ac:dyDescent="0.3">
      <c r="A8" s="25" t="s">
        <v>47</v>
      </c>
      <c r="B8" s="25">
        <v>0.7</v>
      </c>
      <c r="C8" s="25">
        <v>0.2</v>
      </c>
      <c r="D8" s="25">
        <v>0.3</v>
      </c>
      <c r="E8" s="25">
        <v>0.7</v>
      </c>
      <c r="F8" s="25">
        <v>0</v>
      </c>
      <c r="G8" s="25">
        <v>1</v>
      </c>
      <c r="H8" s="25">
        <v>0.5</v>
      </c>
      <c r="I8" s="25">
        <v>1</v>
      </c>
      <c r="J8" s="25">
        <v>0.2</v>
      </c>
      <c r="K8" s="25">
        <v>0</v>
      </c>
      <c r="L8" s="25">
        <v>0</v>
      </c>
      <c r="M8" s="25">
        <v>0</v>
      </c>
      <c r="N8" s="25">
        <v>1</v>
      </c>
      <c r="O8" s="25">
        <v>0</v>
      </c>
      <c r="P8" s="25">
        <v>0</v>
      </c>
      <c r="Q8" s="25">
        <v>0</v>
      </c>
      <c r="R8" s="25">
        <v>1</v>
      </c>
      <c r="S8" s="25">
        <v>0</v>
      </c>
      <c r="T8" s="25">
        <v>1</v>
      </c>
      <c r="U8" s="25">
        <v>1</v>
      </c>
      <c r="V8" s="25">
        <v>1</v>
      </c>
      <c r="W8" s="25">
        <v>0</v>
      </c>
      <c r="X8" s="25">
        <v>1</v>
      </c>
      <c r="Y8" s="25">
        <v>1</v>
      </c>
      <c r="Z8" s="25">
        <v>1</v>
      </c>
      <c r="AA8" s="25">
        <v>0</v>
      </c>
      <c r="AB8" s="25">
        <v>1</v>
      </c>
      <c r="AC8" s="25">
        <v>1</v>
      </c>
      <c r="AD8" s="25">
        <v>1</v>
      </c>
      <c r="AE8" s="25">
        <v>1</v>
      </c>
      <c r="AF8" s="25">
        <v>1</v>
      </c>
      <c r="AG8" s="25">
        <v>1</v>
      </c>
      <c r="AH8" s="25">
        <v>1</v>
      </c>
      <c r="AI8" s="25" t="s">
        <v>34</v>
      </c>
    </row>
    <row r="9" spans="1:35" ht="14.45" x14ac:dyDescent="0.3">
      <c r="A9" s="25" t="s">
        <v>48</v>
      </c>
      <c r="B9" s="25">
        <v>0.7</v>
      </c>
      <c r="C9" s="25">
        <v>0.2</v>
      </c>
      <c r="D9" s="25">
        <v>0.3</v>
      </c>
      <c r="E9" s="25">
        <v>0.7</v>
      </c>
      <c r="F9" s="25">
        <v>0</v>
      </c>
      <c r="G9" s="25">
        <v>1</v>
      </c>
      <c r="H9" s="25">
        <v>0.5</v>
      </c>
      <c r="I9" s="25">
        <v>1</v>
      </c>
      <c r="J9" s="25">
        <v>0.2</v>
      </c>
      <c r="K9" s="25">
        <v>0</v>
      </c>
      <c r="L9" s="25">
        <v>0</v>
      </c>
      <c r="M9" s="25">
        <v>0.2</v>
      </c>
      <c r="N9" s="25">
        <v>0.2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1</v>
      </c>
      <c r="U9" s="25">
        <v>1</v>
      </c>
      <c r="V9" s="25">
        <v>1</v>
      </c>
      <c r="W9" s="25">
        <v>0</v>
      </c>
      <c r="X9" s="25">
        <v>1</v>
      </c>
      <c r="Y9" s="25">
        <v>1</v>
      </c>
      <c r="Z9" s="25">
        <v>0</v>
      </c>
      <c r="AA9" s="25">
        <v>0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0.5</v>
      </c>
      <c r="AI9" s="25" t="s">
        <v>35</v>
      </c>
    </row>
    <row r="10" spans="1:35" ht="14.45" x14ac:dyDescent="0.3">
      <c r="A10" s="25" t="s">
        <v>49</v>
      </c>
      <c r="B10" s="25">
        <v>0.7</v>
      </c>
      <c r="C10" s="25">
        <v>0</v>
      </c>
      <c r="D10" s="25">
        <v>0</v>
      </c>
      <c r="E10" s="25">
        <v>1</v>
      </c>
      <c r="F10" s="25">
        <v>0.3</v>
      </c>
      <c r="G10" s="25">
        <v>1</v>
      </c>
      <c r="H10" s="25">
        <v>0.5</v>
      </c>
      <c r="I10" s="25">
        <v>1</v>
      </c>
      <c r="J10" s="25">
        <v>0.8</v>
      </c>
      <c r="K10" s="25">
        <v>0</v>
      </c>
      <c r="L10" s="25">
        <v>0</v>
      </c>
      <c r="M10" s="25">
        <v>1</v>
      </c>
      <c r="N10" s="25">
        <v>0.5</v>
      </c>
      <c r="O10" s="25">
        <v>0</v>
      </c>
      <c r="P10" s="25">
        <v>0</v>
      </c>
      <c r="Q10" s="25">
        <v>0</v>
      </c>
      <c r="R10" s="25">
        <v>1</v>
      </c>
      <c r="S10" s="25">
        <v>1</v>
      </c>
      <c r="T10" s="25">
        <v>1</v>
      </c>
      <c r="U10" s="25">
        <v>1</v>
      </c>
      <c r="V10" s="25">
        <v>1</v>
      </c>
      <c r="W10" s="25">
        <v>0</v>
      </c>
      <c r="X10" s="25">
        <v>1</v>
      </c>
      <c r="Y10" s="25">
        <v>1</v>
      </c>
      <c r="Z10" s="25">
        <v>1</v>
      </c>
      <c r="AA10" s="25">
        <v>1</v>
      </c>
      <c r="AB10" s="25">
        <v>1</v>
      </c>
      <c r="AC10" s="25">
        <v>1</v>
      </c>
      <c r="AD10" s="25">
        <v>1</v>
      </c>
      <c r="AE10" s="25">
        <v>1</v>
      </c>
      <c r="AF10" s="25">
        <v>0</v>
      </c>
      <c r="AG10" s="25">
        <v>1</v>
      </c>
      <c r="AH10" s="25">
        <v>0.5</v>
      </c>
      <c r="AI10" s="25" t="s">
        <v>35</v>
      </c>
    </row>
    <row r="11" spans="1:35" ht="14.45" x14ac:dyDescent="0.3">
      <c r="A11" s="25" t="s">
        <v>50</v>
      </c>
      <c r="B11" s="25">
        <v>0.9</v>
      </c>
      <c r="C11" s="25">
        <v>0</v>
      </c>
      <c r="D11" s="25">
        <v>1</v>
      </c>
      <c r="E11" s="25">
        <v>1</v>
      </c>
      <c r="F11" s="25">
        <v>0.3</v>
      </c>
      <c r="G11" s="25">
        <v>1</v>
      </c>
      <c r="H11" s="25">
        <v>0.5</v>
      </c>
      <c r="I11" s="25">
        <v>1</v>
      </c>
      <c r="J11" s="25">
        <v>0.4</v>
      </c>
      <c r="K11" s="25">
        <v>0</v>
      </c>
      <c r="L11" s="25">
        <v>0</v>
      </c>
      <c r="M11" s="25">
        <v>0.2</v>
      </c>
      <c r="N11" s="25">
        <v>0.5</v>
      </c>
      <c r="O11" s="25">
        <v>0</v>
      </c>
      <c r="P11" s="25">
        <v>0</v>
      </c>
      <c r="Q11" s="25">
        <v>0</v>
      </c>
      <c r="R11" s="25">
        <v>1</v>
      </c>
      <c r="S11" s="25">
        <v>0</v>
      </c>
      <c r="T11" s="25">
        <v>1</v>
      </c>
      <c r="U11" s="25">
        <v>1</v>
      </c>
      <c r="V11" s="25">
        <v>1</v>
      </c>
      <c r="W11" s="25">
        <v>0</v>
      </c>
      <c r="X11" s="25">
        <v>1</v>
      </c>
      <c r="Y11" s="25">
        <v>1</v>
      </c>
      <c r="Z11" s="25">
        <v>1</v>
      </c>
      <c r="AA11" s="25">
        <v>0</v>
      </c>
      <c r="AB11" s="25">
        <v>1</v>
      </c>
      <c r="AC11" s="25">
        <v>1</v>
      </c>
      <c r="AD11" s="25">
        <v>1</v>
      </c>
      <c r="AE11" s="25">
        <v>1</v>
      </c>
      <c r="AF11" s="25">
        <v>1</v>
      </c>
      <c r="AG11" s="25">
        <v>1</v>
      </c>
      <c r="AH11" s="25">
        <v>0.5</v>
      </c>
      <c r="AI11" s="25" t="s">
        <v>35</v>
      </c>
    </row>
    <row r="12" spans="1:35" ht="14.45" x14ac:dyDescent="0.3">
      <c r="A12" s="25" t="s">
        <v>51</v>
      </c>
      <c r="B12" s="25">
        <v>0.2</v>
      </c>
      <c r="C12" s="25">
        <v>0.1</v>
      </c>
      <c r="D12" s="25">
        <v>0.2</v>
      </c>
      <c r="E12" s="25">
        <v>0.5</v>
      </c>
      <c r="F12" s="25">
        <v>0.1</v>
      </c>
      <c r="G12" s="25">
        <v>0.9</v>
      </c>
      <c r="H12" s="25">
        <v>0.55416666666666603</v>
      </c>
      <c r="I12" s="25">
        <v>0.848101265822784</v>
      </c>
      <c r="J12" s="25">
        <v>0.42278481012658198</v>
      </c>
      <c r="K12" s="25">
        <v>0.13055555555555501</v>
      </c>
      <c r="L12" s="25">
        <v>0.05</v>
      </c>
      <c r="M12" s="25">
        <v>0.26216216216216198</v>
      </c>
      <c r="N12" s="25">
        <v>0.515625</v>
      </c>
      <c r="O12" s="25">
        <v>7.4999999999999997E-2</v>
      </c>
      <c r="P12" s="25">
        <v>5.0632911392405E-2</v>
      </c>
      <c r="Q12" s="25">
        <v>9.9999999999999895E-2</v>
      </c>
      <c r="R12" s="25">
        <v>0.938271604938271</v>
      </c>
      <c r="S12" s="25">
        <v>0.38271604938271597</v>
      </c>
      <c r="T12" s="25">
        <v>0.96296296296296302</v>
      </c>
      <c r="U12" s="25">
        <v>1</v>
      </c>
      <c r="V12" s="25">
        <v>1</v>
      </c>
      <c r="W12" s="25">
        <v>0.12345679012345601</v>
      </c>
      <c r="X12" s="25">
        <v>0.96296296296296302</v>
      </c>
      <c r="Y12" s="25">
        <v>0.95061728395061695</v>
      </c>
      <c r="Z12" s="25">
        <v>0.75308641975308599</v>
      </c>
      <c r="AA12" s="25">
        <v>0.35802469135802401</v>
      </c>
      <c r="AB12" s="25">
        <v>0.98765432098765404</v>
      </c>
      <c r="AC12" s="25">
        <v>1</v>
      </c>
      <c r="AD12" s="25">
        <v>0.97530864197530798</v>
      </c>
      <c r="AE12" s="25">
        <v>1</v>
      </c>
      <c r="AF12" s="25">
        <v>0.46249999999999902</v>
      </c>
      <c r="AG12" s="25">
        <v>1</v>
      </c>
      <c r="AH12" s="25">
        <v>0.89610389610389596</v>
      </c>
      <c r="AI12" s="25" t="s">
        <v>35</v>
      </c>
    </row>
    <row r="13" spans="1:35" ht="14.45" x14ac:dyDescent="0.3">
      <c r="A13" s="25" t="s">
        <v>52</v>
      </c>
      <c r="B13" s="25">
        <v>0.3</v>
      </c>
      <c r="C13" s="25">
        <v>0.1</v>
      </c>
      <c r="D13" s="25">
        <v>0.2</v>
      </c>
      <c r="E13" s="25">
        <v>0.5</v>
      </c>
      <c r="F13" s="25">
        <v>0.1</v>
      </c>
      <c r="G13" s="25">
        <v>0.9</v>
      </c>
      <c r="H13" s="25">
        <v>0.55416666666666603</v>
      </c>
      <c r="I13" s="25">
        <v>0.848101265822784</v>
      </c>
      <c r="J13" s="25">
        <v>0.42278481012658198</v>
      </c>
      <c r="K13" s="25">
        <v>0.13055555555555501</v>
      </c>
      <c r="L13" s="25">
        <v>0.05</v>
      </c>
      <c r="M13" s="25">
        <v>0.26216216216216198</v>
      </c>
      <c r="N13" s="25">
        <v>0.515625</v>
      </c>
      <c r="O13" s="25">
        <v>7.4999999999999997E-2</v>
      </c>
      <c r="P13" s="25">
        <v>5.0632911392405E-2</v>
      </c>
      <c r="Q13" s="25">
        <v>9.9999999999999895E-2</v>
      </c>
      <c r="R13" s="25">
        <v>0.938271604938271</v>
      </c>
      <c r="S13" s="25">
        <v>0.38271604938271597</v>
      </c>
      <c r="T13" s="25">
        <v>0.96296296296296302</v>
      </c>
      <c r="U13" s="25">
        <v>1</v>
      </c>
      <c r="V13" s="25">
        <v>1</v>
      </c>
      <c r="W13" s="25">
        <v>0.12345679012345601</v>
      </c>
      <c r="X13" s="25">
        <v>0.96296296296296302</v>
      </c>
      <c r="Y13" s="25">
        <v>0.95061728395061695</v>
      </c>
      <c r="Z13" s="25">
        <v>0.75308641975308599</v>
      </c>
      <c r="AA13" s="25">
        <v>0.35802469135802401</v>
      </c>
      <c r="AB13" s="25">
        <v>0.98765432098765404</v>
      </c>
      <c r="AC13" s="25">
        <v>1</v>
      </c>
      <c r="AD13" s="25">
        <v>0.97530864197530798</v>
      </c>
      <c r="AE13" s="25">
        <v>1</v>
      </c>
      <c r="AF13" s="25">
        <v>0.46249999999999902</v>
      </c>
      <c r="AG13" s="25">
        <v>1</v>
      </c>
      <c r="AH13" s="25">
        <v>0.89610389610389596</v>
      </c>
      <c r="AI13" s="25" t="s">
        <v>34</v>
      </c>
    </row>
    <row r="14" spans="1:35" ht="14.45" x14ac:dyDescent="0.3">
      <c r="A14" s="25" t="s">
        <v>118</v>
      </c>
      <c r="B14" s="25">
        <v>1</v>
      </c>
      <c r="C14" s="25">
        <v>0</v>
      </c>
      <c r="D14" s="25">
        <v>0</v>
      </c>
      <c r="E14" s="25">
        <v>0</v>
      </c>
      <c r="F14" s="25">
        <v>0</v>
      </c>
      <c r="G14" s="25">
        <v>1</v>
      </c>
      <c r="H14" s="25">
        <v>0.5</v>
      </c>
      <c r="I14" s="25">
        <v>1</v>
      </c>
      <c r="J14" s="25">
        <v>0.6</v>
      </c>
      <c r="K14" s="25">
        <v>0</v>
      </c>
      <c r="L14" s="25">
        <v>0</v>
      </c>
      <c r="M14" s="25">
        <v>0.2</v>
      </c>
      <c r="N14" s="25">
        <v>0.5</v>
      </c>
      <c r="O14" s="25">
        <v>0</v>
      </c>
      <c r="P14" s="25">
        <v>0</v>
      </c>
      <c r="Q14" s="25">
        <v>0</v>
      </c>
      <c r="R14" s="25">
        <v>1</v>
      </c>
      <c r="S14" s="25">
        <v>0</v>
      </c>
      <c r="T14" s="25">
        <v>1</v>
      </c>
      <c r="U14" s="25">
        <v>1</v>
      </c>
      <c r="V14" s="25">
        <v>1</v>
      </c>
      <c r="W14" s="25">
        <v>0</v>
      </c>
      <c r="X14" s="25">
        <v>1</v>
      </c>
      <c r="Y14" s="25">
        <v>1</v>
      </c>
      <c r="Z14" s="25">
        <v>1</v>
      </c>
      <c r="AA14" s="25">
        <v>0</v>
      </c>
      <c r="AB14" s="25">
        <v>1</v>
      </c>
      <c r="AC14" s="25">
        <v>1</v>
      </c>
      <c r="AD14" s="25">
        <v>1</v>
      </c>
      <c r="AE14" s="25">
        <v>1</v>
      </c>
      <c r="AF14" s="25">
        <v>0</v>
      </c>
      <c r="AG14" s="25">
        <v>1</v>
      </c>
      <c r="AH14" s="25">
        <v>1</v>
      </c>
      <c r="AI14" s="25" t="s">
        <v>34</v>
      </c>
    </row>
    <row r="15" spans="1:35" ht="14.45" x14ac:dyDescent="0.3">
      <c r="A15" s="25" t="s">
        <v>119</v>
      </c>
      <c r="B15" s="25">
        <v>0.5</v>
      </c>
      <c r="C15" s="25">
        <v>0</v>
      </c>
      <c r="D15" s="25">
        <v>0</v>
      </c>
      <c r="E15" s="25">
        <v>0</v>
      </c>
      <c r="F15" s="25">
        <v>0</v>
      </c>
      <c r="G15" s="25">
        <v>1</v>
      </c>
      <c r="H15" s="25">
        <v>0.5</v>
      </c>
      <c r="I15" s="25">
        <v>1</v>
      </c>
      <c r="J15" s="25">
        <v>0.6</v>
      </c>
      <c r="K15" s="25">
        <v>0</v>
      </c>
      <c r="L15" s="25">
        <v>0</v>
      </c>
      <c r="M15" s="25">
        <v>0.2</v>
      </c>
      <c r="N15" s="25">
        <v>0.5</v>
      </c>
      <c r="O15" s="25">
        <v>0</v>
      </c>
      <c r="P15" s="25">
        <v>0</v>
      </c>
      <c r="Q15" s="25">
        <v>0</v>
      </c>
      <c r="R15" s="25">
        <v>1</v>
      </c>
      <c r="S15" s="25">
        <v>0</v>
      </c>
      <c r="T15" s="25">
        <v>1</v>
      </c>
      <c r="U15" s="25">
        <v>1</v>
      </c>
      <c r="V15" s="25">
        <v>1</v>
      </c>
      <c r="W15" s="25">
        <v>0</v>
      </c>
      <c r="X15" s="25">
        <v>1</v>
      </c>
      <c r="Y15" s="25">
        <v>1</v>
      </c>
      <c r="Z15" s="25">
        <v>1</v>
      </c>
      <c r="AA15" s="25">
        <v>0</v>
      </c>
      <c r="AB15" s="25">
        <v>1</v>
      </c>
      <c r="AC15" s="25">
        <v>1</v>
      </c>
      <c r="AD15" s="25">
        <v>1</v>
      </c>
      <c r="AE15" s="25">
        <v>1</v>
      </c>
      <c r="AF15" s="25">
        <v>0</v>
      </c>
      <c r="AG15" s="25">
        <v>1</v>
      </c>
      <c r="AH15" s="25">
        <v>1</v>
      </c>
      <c r="AI15" s="25" t="s">
        <v>35</v>
      </c>
    </row>
    <row r="16" spans="1:35" ht="14.45" x14ac:dyDescent="0.3">
      <c r="A16" s="26" t="s">
        <v>120</v>
      </c>
      <c r="B16" s="26">
        <v>0.5</v>
      </c>
      <c r="C16" s="26">
        <v>0</v>
      </c>
      <c r="D16" s="26">
        <v>0</v>
      </c>
      <c r="E16" s="26">
        <v>0</v>
      </c>
      <c r="F16" s="26">
        <v>0</v>
      </c>
      <c r="G16" s="26">
        <v>1</v>
      </c>
      <c r="H16" s="26">
        <v>0.5</v>
      </c>
      <c r="I16" s="26">
        <v>1</v>
      </c>
      <c r="J16" s="26">
        <v>0.6</v>
      </c>
      <c r="K16" s="26">
        <v>0</v>
      </c>
      <c r="L16" s="26">
        <v>0</v>
      </c>
      <c r="M16" s="26">
        <v>0</v>
      </c>
      <c r="N16" s="26">
        <v>0.5</v>
      </c>
      <c r="O16" s="26">
        <v>0</v>
      </c>
      <c r="P16" s="26">
        <v>0</v>
      </c>
      <c r="Q16" s="26">
        <v>0</v>
      </c>
      <c r="R16" s="26">
        <v>1</v>
      </c>
      <c r="S16" s="26">
        <v>0</v>
      </c>
      <c r="T16" s="26">
        <v>1</v>
      </c>
      <c r="U16" s="26">
        <v>1</v>
      </c>
      <c r="V16" s="26">
        <v>1</v>
      </c>
      <c r="W16" s="26">
        <v>0</v>
      </c>
      <c r="X16" s="26">
        <v>1</v>
      </c>
      <c r="Y16" s="26">
        <v>1</v>
      </c>
      <c r="Z16" s="26">
        <v>1</v>
      </c>
      <c r="AA16" s="26">
        <v>0</v>
      </c>
      <c r="AB16" s="26">
        <v>1</v>
      </c>
      <c r="AC16" s="26">
        <v>1</v>
      </c>
      <c r="AD16" s="26">
        <v>1</v>
      </c>
      <c r="AE16" s="26">
        <v>1</v>
      </c>
      <c r="AF16" s="26">
        <v>0</v>
      </c>
      <c r="AG16" s="26">
        <v>1</v>
      </c>
      <c r="AH16" s="26">
        <v>1</v>
      </c>
      <c r="AI16" s="26" t="s">
        <v>37</v>
      </c>
    </row>
    <row r="17" spans="1:35" ht="14.45" x14ac:dyDescent="0.3">
      <c r="A17" s="26" t="s">
        <v>121</v>
      </c>
      <c r="B17" s="26">
        <v>0</v>
      </c>
      <c r="C17" s="26">
        <v>0.1</v>
      </c>
      <c r="D17" s="26">
        <v>0.2</v>
      </c>
      <c r="E17" s="26">
        <v>0.5</v>
      </c>
      <c r="F17" s="26">
        <v>0.1</v>
      </c>
      <c r="G17" s="26">
        <v>0.9</v>
      </c>
      <c r="H17" s="26">
        <v>0.55416666666666603</v>
      </c>
      <c r="I17" s="26">
        <v>0.848101265822784</v>
      </c>
      <c r="J17" s="26">
        <v>0.42278481012658198</v>
      </c>
      <c r="K17" s="26">
        <v>0.13055555555555501</v>
      </c>
      <c r="L17" s="26">
        <v>0.05</v>
      </c>
      <c r="M17" s="26">
        <v>0.26216216216216198</v>
      </c>
      <c r="N17" s="26">
        <v>0.515625</v>
      </c>
      <c r="O17" s="26">
        <v>7.4999999999999997E-2</v>
      </c>
      <c r="P17" s="26">
        <v>5.0632911392405E-2</v>
      </c>
      <c r="Q17" s="26">
        <v>9.9999999999999895E-2</v>
      </c>
      <c r="R17" s="26">
        <v>0.938271604938271</v>
      </c>
      <c r="S17" s="26">
        <v>0.38271604938271597</v>
      </c>
      <c r="T17" s="26">
        <v>0.96296296296296302</v>
      </c>
      <c r="U17" s="26">
        <v>1</v>
      </c>
      <c r="V17" s="26">
        <v>1</v>
      </c>
      <c r="W17" s="26">
        <v>0.12345679012345601</v>
      </c>
      <c r="X17" s="26">
        <v>0.96296296296296302</v>
      </c>
      <c r="Y17" s="26">
        <v>0.95061728395061695</v>
      </c>
      <c r="Z17" s="26">
        <v>0.75308641975308599</v>
      </c>
      <c r="AA17" s="26">
        <v>0.35802469135802401</v>
      </c>
      <c r="AB17" s="26">
        <v>0.98765432098765404</v>
      </c>
      <c r="AC17" s="26">
        <v>1</v>
      </c>
      <c r="AD17" s="26">
        <v>0.97530864197530798</v>
      </c>
      <c r="AE17" s="26">
        <v>1</v>
      </c>
      <c r="AF17" s="26">
        <v>0.46249999999999902</v>
      </c>
      <c r="AG17" s="26">
        <v>1</v>
      </c>
      <c r="AH17" s="26">
        <v>0.89610389610389596</v>
      </c>
      <c r="AI17" s="26" t="s">
        <v>37</v>
      </c>
    </row>
    <row r="18" spans="1:35" ht="14.45" x14ac:dyDescent="0.3">
      <c r="A18" s="26" t="s">
        <v>122</v>
      </c>
      <c r="B18" s="26">
        <v>0</v>
      </c>
      <c r="C18" s="26">
        <v>0</v>
      </c>
      <c r="D18" s="26">
        <v>0</v>
      </c>
      <c r="E18" s="26">
        <v>0.7</v>
      </c>
      <c r="F18" s="26">
        <v>0.3</v>
      </c>
      <c r="G18" s="26">
        <v>1</v>
      </c>
      <c r="H18" s="26">
        <v>0.5</v>
      </c>
      <c r="I18" s="26">
        <v>1</v>
      </c>
      <c r="J18" s="26">
        <v>0.4</v>
      </c>
      <c r="K18" s="26">
        <v>0</v>
      </c>
      <c r="L18" s="26">
        <v>0</v>
      </c>
      <c r="M18" s="26">
        <v>0</v>
      </c>
      <c r="N18" s="26">
        <v>0.5</v>
      </c>
      <c r="O18" s="26">
        <v>0</v>
      </c>
      <c r="P18" s="26">
        <v>0</v>
      </c>
      <c r="Q18" s="26">
        <v>0</v>
      </c>
      <c r="R18" s="26">
        <v>1</v>
      </c>
      <c r="S18" s="26">
        <v>1</v>
      </c>
      <c r="T18" s="26">
        <v>1</v>
      </c>
      <c r="U18" s="26">
        <v>1</v>
      </c>
      <c r="V18" s="26">
        <v>1</v>
      </c>
      <c r="W18" s="26">
        <v>0</v>
      </c>
      <c r="X18" s="26">
        <v>1</v>
      </c>
      <c r="Y18" s="26">
        <v>1</v>
      </c>
      <c r="Z18" s="26">
        <v>1</v>
      </c>
      <c r="AA18" s="26">
        <v>1</v>
      </c>
      <c r="AB18" s="26">
        <v>1</v>
      </c>
      <c r="AC18" s="26">
        <v>1</v>
      </c>
      <c r="AD18" s="26">
        <v>1</v>
      </c>
      <c r="AE18" s="26">
        <v>1</v>
      </c>
      <c r="AF18" s="26">
        <v>0</v>
      </c>
      <c r="AG18" s="26">
        <v>1</v>
      </c>
      <c r="AH18" s="26">
        <v>1</v>
      </c>
      <c r="AI18" s="26" t="s">
        <v>37</v>
      </c>
    </row>
    <row r="19" spans="1:35" ht="14.45" x14ac:dyDescent="0.3">
      <c r="A19" s="26" t="s">
        <v>123</v>
      </c>
      <c r="B19" s="26">
        <v>0</v>
      </c>
      <c r="C19" s="26">
        <v>0.1</v>
      </c>
      <c r="D19" s="26">
        <v>0.2</v>
      </c>
      <c r="E19" s="26">
        <v>0.5</v>
      </c>
      <c r="F19" s="26">
        <v>0.1</v>
      </c>
      <c r="G19" s="26">
        <v>0.9</v>
      </c>
      <c r="H19" s="26">
        <v>0.55416666666666603</v>
      </c>
      <c r="I19" s="26">
        <v>0.848101265822784</v>
      </c>
      <c r="J19" s="26">
        <v>0.42278481012658198</v>
      </c>
      <c r="K19" s="26">
        <v>0.13055555555555501</v>
      </c>
      <c r="L19" s="26">
        <v>0.05</v>
      </c>
      <c r="M19" s="26">
        <v>0.26216216216216198</v>
      </c>
      <c r="N19" s="26">
        <v>0.515625</v>
      </c>
      <c r="O19" s="26">
        <v>7.4999999999999997E-2</v>
      </c>
      <c r="P19" s="26">
        <v>5.0632911392405E-2</v>
      </c>
      <c r="Q19" s="26">
        <v>9.9999999999999895E-2</v>
      </c>
      <c r="R19" s="26">
        <v>0.938271604938271</v>
      </c>
      <c r="S19" s="26">
        <v>0.38271604938271597</v>
      </c>
      <c r="T19" s="26">
        <v>0.96296296296296302</v>
      </c>
      <c r="U19" s="26">
        <v>1</v>
      </c>
      <c r="V19" s="26">
        <v>1</v>
      </c>
      <c r="W19" s="26">
        <v>0.12345679012345601</v>
      </c>
      <c r="X19" s="26">
        <v>0.96296296296296302</v>
      </c>
      <c r="Y19" s="26">
        <v>0.95061728395061695</v>
      </c>
      <c r="Z19" s="26">
        <v>0.75308641975308599</v>
      </c>
      <c r="AA19" s="26">
        <v>0.35802469135802401</v>
      </c>
      <c r="AB19" s="26">
        <v>0.98765432098765404</v>
      </c>
      <c r="AC19" s="26">
        <v>1</v>
      </c>
      <c r="AD19" s="26">
        <v>0.97530864197530798</v>
      </c>
      <c r="AE19" s="26">
        <v>1</v>
      </c>
      <c r="AF19" s="26">
        <v>0.46249999999999902</v>
      </c>
      <c r="AG19" s="26">
        <v>1</v>
      </c>
      <c r="AH19" s="26">
        <v>0.89610389610389596</v>
      </c>
      <c r="AI19" s="26" t="s">
        <v>37</v>
      </c>
    </row>
    <row r="20" spans="1:35" ht="14.45" x14ac:dyDescent="0.3">
      <c r="A20" s="26" t="s">
        <v>124</v>
      </c>
      <c r="B20" s="26">
        <v>0</v>
      </c>
      <c r="C20" s="26">
        <v>0.1</v>
      </c>
      <c r="D20" s="26">
        <v>0.2</v>
      </c>
      <c r="E20" s="26">
        <v>0.5</v>
      </c>
      <c r="F20" s="26">
        <v>0.1</v>
      </c>
      <c r="G20" s="26">
        <v>0.9</v>
      </c>
      <c r="H20" s="26">
        <v>0.55416666666666603</v>
      </c>
      <c r="I20" s="26">
        <v>0.848101265822784</v>
      </c>
      <c r="J20" s="26">
        <v>0.42278481012658198</v>
      </c>
      <c r="K20" s="26">
        <v>0.13055555555555501</v>
      </c>
      <c r="L20" s="26">
        <v>0.05</v>
      </c>
      <c r="M20" s="26">
        <v>0.26216216216216198</v>
      </c>
      <c r="N20" s="26">
        <v>0.515625</v>
      </c>
      <c r="O20" s="26">
        <v>7.4999999999999997E-2</v>
      </c>
      <c r="P20" s="26">
        <v>5.0632911392405E-2</v>
      </c>
      <c r="Q20" s="26">
        <v>9.9999999999999895E-2</v>
      </c>
      <c r="R20" s="26">
        <v>0.938271604938271</v>
      </c>
      <c r="S20" s="26">
        <v>0.38271604938271597</v>
      </c>
      <c r="T20" s="26">
        <v>0.96296296296296302</v>
      </c>
      <c r="U20" s="26">
        <v>1</v>
      </c>
      <c r="V20" s="26">
        <v>1</v>
      </c>
      <c r="W20" s="26">
        <v>0.12345679012345601</v>
      </c>
      <c r="X20" s="26">
        <v>0.96296296296296302</v>
      </c>
      <c r="Y20" s="26">
        <v>0.95061728395061695</v>
      </c>
      <c r="Z20" s="26">
        <v>0.75308641975308599</v>
      </c>
      <c r="AA20" s="26">
        <v>0.35802469135802401</v>
      </c>
      <c r="AB20" s="26">
        <v>0.98765432098765404</v>
      </c>
      <c r="AC20" s="26">
        <v>1</v>
      </c>
      <c r="AD20" s="26">
        <v>0.97530864197530798</v>
      </c>
      <c r="AE20" s="26">
        <v>1</v>
      </c>
      <c r="AF20" s="26">
        <v>0.46249999999999902</v>
      </c>
      <c r="AG20" s="26">
        <v>1</v>
      </c>
      <c r="AH20" s="26">
        <v>0.89610389610389596</v>
      </c>
      <c r="AI20" s="26" t="s">
        <v>37</v>
      </c>
    </row>
    <row r="21" spans="1:35" ht="14.45" x14ac:dyDescent="0.3">
      <c r="A21" s="26" t="s">
        <v>125</v>
      </c>
      <c r="B21" s="26">
        <v>0</v>
      </c>
      <c r="C21" s="26">
        <v>0.1</v>
      </c>
      <c r="D21" s="26">
        <v>0.2</v>
      </c>
      <c r="E21" s="26">
        <v>0.5</v>
      </c>
      <c r="F21" s="26">
        <v>0.1</v>
      </c>
      <c r="G21" s="26">
        <v>0.9</v>
      </c>
      <c r="H21" s="26">
        <v>0.55416666666666603</v>
      </c>
      <c r="I21" s="26">
        <v>0.848101265822784</v>
      </c>
      <c r="J21" s="26">
        <v>0.42278481012658198</v>
      </c>
      <c r="K21" s="26">
        <v>0.13055555555555501</v>
      </c>
      <c r="L21" s="26">
        <v>0.05</v>
      </c>
      <c r="M21" s="26">
        <v>0.26216216216216198</v>
      </c>
      <c r="N21" s="26">
        <v>0.515625</v>
      </c>
      <c r="O21" s="26">
        <v>7.4999999999999997E-2</v>
      </c>
      <c r="P21" s="26">
        <v>5.0632911392405E-2</v>
      </c>
      <c r="Q21" s="26">
        <v>9.9999999999999895E-2</v>
      </c>
      <c r="R21" s="26">
        <v>0.938271604938271</v>
      </c>
      <c r="S21" s="26">
        <v>0.38271604938271597</v>
      </c>
      <c r="T21" s="26">
        <v>0.96296296296296302</v>
      </c>
      <c r="U21" s="26">
        <v>1</v>
      </c>
      <c r="V21" s="26">
        <v>1</v>
      </c>
      <c r="W21" s="26">
        <v>0.12345679012345601</v>
      </c>
      <c r="X21" s="26">
        <v>0.96296296296296302</v>
      </c>
      <c r="Y21" s="26">
        <v>0.95061728395061695</v>
      </c>
      <c r="Z21" s="26">
        <v>0.75308641975308599</v>
      </c>
      <c r="AA21" s="26">
        <v>0.35802469135802401</v>
      </c>
      <c r="AB21" s="26">
        <v>0.98765432098765404</v>
      </c>
      <c r="AC21" s="26">
        <v>1</v>
      </c>
      <c r="AD21" s="26">
        <v>0.97530864197530798</v>
      </c>
      <c r="AE21" s="26">
        <v>1</v>
      </c>
      <c r="AF21" s="26">
        <v>0.46249999999999902</v>
      </c>
      <c r="AG21" s="26">
        <v>1</v>
      </c>
      <c r="AH21" s="26">
        <v>0.89610389610389596</v>
      </c>
      <c r="AI21" s="26" t="s">
        <v>37</v>
      </c>
    </row>
    <row r="22" spans="1:35" ht="14.45" x14ac:dyDescent="0.3">
      <c r="A22" s="26" t="s">
        <v>126</v>
      </c>
      <c r="B22" s="26">
        <v>0.2</v>
      </c>
      <c r="C22" s="26">
        <v>0</v>
      </c>
      <c r="D22" s="26">
        <v>0</v>
      </c>
      <c r="E22" s="26">
        <v>0.7</v>
      </c>
      <c r="F22" s="26">
        <v>0</v>
      </c>
      <c r="G22" s="26">
        <v>1</v>
      </c>
      <c r="H22" s="26">
        <v>0.5</v>
      </c>
      <c r="I22" s="26">
        <v>1</v>
      </c>
      <c r="J22" s="26">
        <v>0.6</v>
      </c>
      <c r="K22" s="26">
        <v>0</v>
      </c>
      <c r="L22" s="26">
        <v>0</v>
      </c>
      <c r="M22" s="26">
        <v>0</v>
      </c>
      <c r="N22" s="26">
        <v>0.5</v>
      </c>
      <c r="O22" s="26">
        <v>0</v>
      </c>
      <c r="P22" s="26">
        <v>0</v>
      </c>
      <c r="Q22" s="26">
        <v>0</v>
      </c>
      <c r="R22" s="26">
        <v>1</v>
      </c>
      <c r="S22" s="26">
        <v>0</v>
      </c>
      <c r="T22" s="26">
        <v>1</v>
      </c>
      <c r="U22" s="26">
        <v>1</v>
      </c>
      <c r="V22" s="26">
        <v>1</v>
      </c>
      <c r="W22" s="26">
        <v>0</v>
      </c>
      <c r="X22" s="26">
        <v>1</v>
      </c>
      <c r="Y22" s="26">
        <v>1</v>
      </c>
      <c r="Z22" s="26">
        <v>0</v>
      </c>
      <c r="AA22" s="26">
        <v>0</v>
      </c>
      <c r="AB22" s="26">
        <v>1</v>
      </c>
      <c r="AC22" s="26">
        <v>1</v>
      </c>
      <c r="AD22" s="26">
        <v>1</v>
      </c>
      <c r="AE22" s="26">
        <v>1</v>
      </c>
      <c r="AF22" s="26">
        <v>0</v>
      </c>
      <c r="AG22" s="26">
        <v>1</v>
      </c>
      <c r="AH22" s="26">
        <v>1</v>
      </c>
      <c r="AI22" s="26" t="s">
        <v>37</v>
      </c>
    </row>
    <row r="23" spans="1:35" ht="14.45" x14ac:dyDescent="0.3">
      <c r="A23" s="26" t="s">
        <v>127</v>
      </c>
      <c r="B23" s="26">
        <v>0.3</v>
      </c>
      <c r="C23" s="26">
        <v>0</v>
      </c>
      <c r="D23" s="26">
        <v>0</v>
      </c>
      <c r="E23" s="26">
        <v>0.7</v>
      </c>
      <c r="F23" s="26">
        <v>0</v>
      </c>
      <c r="G23" s="26">
        <v>1</v>
      </c>
      <c r="H23" s="26">
        <v>0.5</v>
      </c>
      <c r="I23" s="26">
        <v>1</v>
      </c>
      <c r="J23" s="26">
        <v>0.6</v>
      </c>
      <c r="K23" s="26">
        <v>0</v>
      </c>
      <c r="L23" s="26">
        <v>0</v>
      </c>
      <c r="M23" s="26">
        <v>0.2</v>
      </c>
      <c r="N23" s="26">
        <v>0.5</v>
      </c>
      <c r="O23" s="26">
        <v>0</v>
      </c>
      <c r="P23" s="26">
        <v>0</v>
      </c>
      <c r="Q23" s="26">
        <v>0</v>
      </c>
      <c r="R23" s="26">
        <v>1</v>
      </c>
      <c r="S23" s="26">
        <v>1</v>
      </c>
      <c r="T23" s="26">
        <v>1</v>
      </c>
      <c r="U23" s="26">
        <v>1</v>
      </c>
      <c r="V23" s="26">
        <v>1</v>
      </c>
      <c r="W23" s="26">
        <v>0</v>
      </c>
      <c r="X23" s="26">
        <v>1</v>
      </c>
      <c r="Y23" s="26">
        <v>1</v>
      </c>
      <c r="Z23" s="26">
        <v>1</v>
      </c>
      <c r="AA23" s="26">
        <v>1</v>
      </c>
      <c r="AB23" s="26">
        <v>1</v>
      </c>
      <c r="AC23" s="26">
        <v>1</v>
      </c>
      <c r="AD23" s="26">
        <v>1</v>
      </c>
      <c r="AE23" s="26">
        <v>1</v>
      </c>
      <c r="AF23" s="26">
        <v>0</v>
      </c>
      <c r="AG23" s="26">
        <v>1</v>
      </c>
      <c r="AH23" s="26">
        <v>1</v>
      </c>
      <c r="AI23" s="26" t="s">
        <v>37</v>
      </c>
    </row>
    <row r="26" spans="1:35" ht="14.45" x14ac:dyDescent="0.3">
      <c r="A26" s="5" t="s">
        <v>38</v>
      </c>
      <c r="B26" s="6" t="s">
        <v>34</v>
      </c>
      <c r="C26" s="6" t="s">
        <v>35</v>
      </c>
      <c r="D26" s="6" t="s">
        <v>39</v>
      </c>
    </row>
    <row r="27" spans="1:35" x14ac:dyDescent="0.25">
      <c r="A27" s="5" t="s">
        <v>40</v>
      </c>
      <c r="B27" s="7">
        <f>COUNTIFS(AI4:AI19,"YES")</f>
        <v>4</v>
      </c>
      <c r="C27" s="7">
        <f>COUNTIFS(AI4:AI23,"NO")</f>
        <v>8</v>
      </c>
      <c r="D27" s="46">
        <v>12</v>
      </c>
    </row>
    <row r="28" spans="1:35" x14ac:dyDescent="0.25">
      <c r="A28" s="8" t="s">
        <v>41</v>
      </c>
      <c r="B28" s="7">
        <f>B27/D27</f>
        <v>0.33333333333333331</v>
      </c>
      <c r="C28" s="7">
        <f>C27/D27</f>
        <v>0.66666666666666663</v>
      </c>
      <c r="D28" s="46"/>
    </row>
    <row r="30" spans="1:35" x14ac:dyDescent="0.25">
      <c r="A30" s="36"/>
      <c r="B30" s="37" t="s">
        <v>0</v>
      </c>
      <c r="C30" s="37" t="s">
        <v>1</v>
      </c>
      <c r="D30" s="37" t="s">
        <v>2</v>
      </c>
      <c r="E30" s="37" t="s">
        <v>3</v>
      </c>
      <c r="F30" s="37" t="s">
        <v>4</v>
      </c>
      <c r="G30" s="37" t="s">
        <v>5</v>
      </c>
      <c r="H30" s="37" t="s">
        <v>6</v>
      </c>
      <c r="I30" s="37" t="s">
        <v>7</v>
      </c>
      <c r="J30" s="37" t="s">
        <v>8</v>
      </c>
      <c r="K30" s="37" t="s">
        <v>9</v>
      </c>
      <c r="L30" s="37" t="s">
        <v>10</v>
      </c>
      <c r="M30" s="37" t="s">
        <v>11</v>
      </c>
      <c r="N30" s="37" t="s">
        <v>12</v>
      </c>
      <c r="O30" s="37" t="s">
        <v>13</v>
      </c>
      <c r="P30" s="37" t="s">
        <v>14</v>
      </c>
      <c r="Q30" s="37" t="s">
        <v>15</v>
      </c>
      <c r="R30" s="37" t="s">
        <v>16</v>
      </c>
      <c r="S30" s="37" t="s">
        <v>17</v>
      </c>
      <c r="T30" s="37" t="s">
        <v>18</v>
      </c>
      <c r="U30" s="37" t="s">
        <v>19</v>
      </c>
      <c r="V30" s="37" t="s">
        <v>20</v>
      </c>
      <c r="W30" s="37" t="s">
        <v>21</v>
      </c>
      <c r="X30" s="37" t="s">
        <v>22</v>
      </c>
      <c r="Y30" s="37" t="s">
        <v>23</v>
      </c>
      <c r="Z30" s="37" t="s">
        <v>24</v>
      </c>
      <c r="AA30" s="37" t="s">
        <v>25</v>
      </c>
      <c r="AB30" s="37" t="s">
        <v>26</v>
      </c>
      <c r="AC30" s="37" t="s">
        <v>27</v>
      </c>
      <c r="AD30" s="37" t="s">
        <v>28</v>
      </c>
      <c r="AE30" s="37" t="s">
        <v>29</v>
      </c>
      <c r="AF30" s="37" t="s">
        <v>30</v>
      </c>
      <c r="AG30" s="37" t="s">
        <v>31</v>
      </c>
      <c r="AH30" s="37" t="s">
        <v>32</v>
      </c>
      <c r="AI30" s="37"/>
    </row>
    <row r="31" spans="1:35" x14ac:dyDescent="0.25">
      <c r="A31" s="26" t="s">
        <v>120</v>
      </c>
      <c r="B31" s="26">
        <v>0.5</v>
      </c>
      <c r="C31" s="26">
        <v>0</v>
      </c>
      <c r="D31" s="26">
        <v>0</v>
      </c>
      <c r="E31" s="26">
        <v>0</v>
      </c>
      <c r="F31" s="26">
        <v>0</v>
      </c>
      <c r="G31" s="26">
        <v>1</v>
      </c>
      <c r="H31" s="26">
        <v>0.5</v>
      </c>
      <c r="I31" s="26">
        <v>1</v>
      </c>
      <c r="J31" s="26">
        <v>0.6</v>
      </c>
      <c r="K31" s="26">
        <v>0</v>
      </c>
      <c r="L31" s="26">
        <v>0</v>
      </c>
      <c r="M31" s="26">
        <v>0</v>
      </c>
      <c r="N31" s="26">
        <v>0.5</v>
      </c>
      <c r="O31" s="26">
        <v>0</v>
      </c>
      <c r="P31" s="26">
        <v>0</v>
      </c>
      <c r="Q31" s="26">
        <v>0</v>
      </c>
      <c r="R31" s="26">
        <v>1</v>
      </c>
      <c r="S31" s="26">
        <v>0</v>
      </c>
      <c r="T31" s="26">
        <v>1</v>
      </c>
      <c r="U31" s="26">
        <v>1</v>
      </c>
      <c r="V31" s="26">
        <v>1</v>
      </c>
      <c r="W31" s="26">
        <v>0</v>
      </c>
      <c r="X31" s="26">
        <v>1</v>
      </c>
      <c r="Y31" s="26">
        <v>1</v>
      </c>
      <c r="Z31" s="26">
        <v>1</v>
      </c>
      <c r="AA31" s="26">
        <v>0</v>
      </c>
      <c r="AB31" s="26">
        <v>1</v>
      </c>
      <c r="AC31" s="26">
        <v>1</v>
      </c>
      <c r="AD31" s="26">
        <v>1</v>
      </c>
      <c r="AE31" s="26">
        <v>1</v>
      </c>
      <c r="AF31" s="26">
        <v>0</v>
      </c>
      <c r="AG31" s="26">
        <v>1</v>
      </c>
      <c r="AH31" s="26">
        <v>1</v>
      </c>
      <c r="AI31" s="26" t="s">
        <v>37</v>
      </c>
    </row>
    <row r="33" spans="1:36" x14ac:dyDescent="0.25">
      <c r="A33" s="41" t="s">
        <v>54</v>
      </c>
      <c r="B33" s="41"/>
      <c r="C33" s="1" t="s">
        <v>0</v>
      </c>
      <c r="D33" s="1" t="s">
        <v>1</v>
      </c>
      <c r="E33" s="1" t="s">
        <v>2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7</v>
      </c>
      <c r="K33" s="1" t="s">
        <v>8</v>
      </c>
      <c r="L33" s="1" t="s">
        <v>9</v>
      </c>
      <c r="M33" s="1" t="s">
        <v>10</v>
      </c>
      <c r="N33" s="1" t="s">
        <v>11</v>
      </c>
      <c r="O33" s="1" t="s">
        <v>12</v>
      </c>
      <c r="P33" s="1" t="s">
        <v>13</v>
      </c>
      <c r="Q33" s="1" t="s">
        <v>14</v>
      </c>
      <c r="R33" s="1" t="s">
        <v>15</v>
      </c>
      <c r="S33" s="1" t="s">
        <v>16</v>
      </c>
      <c r="T33" s="1" t="s">
        <v>17</v>
      </c>
      <c r="U33" s="1" t="s">
        <v>18</v>
      </c>
      <c r="V33" s="1" t="s">
        <v>19</v>
      </c>
      <c r="W33" s="1" t="s">
        <v>20</v>
      </c>
      <c r="X33" s="1" t="s">
        <v>21</v>
      </c>
      <c r="Y33" s="1" t="s">
        <v>22</v>
      </c>
      <c r="Z33" s="1" t="s">
        <v>23</v>
      </c>
      <c r="AA33" s="1" t="s">
        <v>24</v>
      </c>
      <c r="AB33" s="1" t="s">
        <v>25</v>
      </c>
      <c r="AC33" s="1" t="s">
        <v>26</v>
      </c>
      <c r="AD33" s="1" t="s">
        <v>27</v>
      </c>
      <c r="AE33" s="1" t="s">
        <v>28</v>
      </c>
      <c r="AF33" s="1" t="s">
        <v>29</v>
      </c>
      <c r="AG33" s="1" t="s">
        <v>30</v>
      </c>
      <c r="AH33" s="1" t="s">
        <v>31</v>
      </c>
      <c r="AI33" s="1" t="s">
        <v>32</v>
      </c>
    </row>
    <row r="34" spans="1:36" x14ac:dyDescent="0.25">
      <c r="A34" s="41" t="s">
        <v>55</v>
      </c>
      <c r="B34" s="41"/>
      <c r="C34" s="2">
        <f t="shared" ref="C34:M34" si="0">COUNTIFS(B$4:B$15,B31,$AI$4:$AI$15,"YES")</f>
        <v>1</v>
      </c>
      <c r="D34" s="2">
        <f t="shared" si="0"/>
        <v>2</v>
      </c>
      <c r="E34" s="2">
        <f t="shared" si="0"/>
        <v>2</v>
      </c>
      <c r="F34" s="2">
        <f t="shared" si="0"/>
        <v>1</v>
      </c>
      <c r="G34" s="2">
        <f t="shared" si="0"/>
        <v>3</v>
      </c>
      <c r="H34" s="2">
        <f t="shared" si="0"/>
        <v>3</v>
      </c>
      <c r="I34" s="2">
        <f t="shared" si="0"/>
        <v>3</v>
      </c>
      <c r="J34" s="2">
        <f t="shared" si="0"/>
        <v>3</v>
      </c>
      <c r="K34" s="2">
        <f t="shared" si="0"/>
        <v>2</v>
      </c>
      <c r="L34" s="2">
        <f t="shared" si="0"/>
        <v>2</v>
      </c>
      <c r="M34" s="2">
        <f t="shared" si="0"/>
        <v>3</v>
      </c>
      <c r="N34" s="2">
        <f>COUNTIFS(M$4:M$15,M31,$AI$4:$AI$15,"YES")</f>
        <v>1</v>
      </c>
      <c r="O34" s="2">
        <f t="shared" ref="O34:AI34" si="1">COUNTIFS(N$4:N$15,N31,$AI$4:$AI$15,"YES")</f>
        <v>2</v>
      </c>
      <c r="P34" s="2">
        <f t="shared" si="1"/>
        <v>3</v>
      </c>
      <c r="Q34" s="2">
        <f t="shared" si="1"/>
        <v>3</v>
      </c>
      <c r="R34" s="2">
        <f t="shared" si="1"/>
        <v>3</v>
      </c>
      <c r="S34" s="2">
        <f t="shared" si="1"/>
        <v>3</v>
      </c>
      <c r="T34" s="2">
        <f t="shared" si="1"/>
        <v>2</v>
      </c>
      <c r="U34" s="2">
        <f t="shared" si="1"/>
        <v>3</v>
      </c>
      <c r="V34" s="2">
        <f t="shared" si="1"/>
        <v>4</v>
      </c>
      <c r="W34" s="2">
        <f t="shared" si="1"/>
        <v>4</v>
      </c>
      <c r="X34" s="2">
        <f t="shared" si="1"/>
        <v>3</v>
      </c>
      <c r="Y34" s="2">
        <f t="shared" si="1"/>
        <v>3</v>
      </c>
      <c r="Z34" s="2">
        <f t="shared" si="1"/>
        <v>3</v>
      </c>
      <c r="AA34" s="2">
        <f t="shared" si="1"/>
        <v>3</v>
      </c>
      <c r="AB34" s="2">
        <f t="shared" si="1"/>
        <v>3</v>
      </c>
      <c r="AC34" s="2">
        <f t="shared" si="1"/>
        <v>3</v>
      </c>
      <c r="AD34" s="2">
        <f t="shared" si="1"/>
        <v>4</v>
      </c>
      <c r="AE34" s="2">
        <f t="shared" si="1"/>
        <v>3</v>
      </c>
      <c r="AF34" s="2">
        <f t="shared" si="1"/>
        <v>4</v>
      </c>
      <c r="AG34" s="2">
        <f t="shared" si="1"/>
        <v>2</v>
      </c>
      <c r="AH34" s="2">
        <f t="shared" si="1"/>
        <v>4</v>
      </c>
      <c r="AI34" s="2">
        <f t="shared" si="1"/>
        <v>3</v>
      </c>
      <c r="AJ34" s="10"/>
    </row>
    <row r="35" spans="1:36" x14ac:dyDescent="0.25">
      <c r="A35" s="41" t="s">
        <v>42</v>
      </c>
      <c r="B35" s="41"/>
      <c r="C35" s="2">
        <f>COUNTIFS(B$4:B$15,B31,$AI$4:$AI$15,"No")</f>
        <v>2</v>
      </c>
      <c r="D35" s="2">
        <f t="shared" ref="D35:AI35" si="2">COUNTIFS(C$4:C$15,C31,$AI$4:$AI$15,"No")</f>
        <v>4</v>
      </c>
      <c r="E35" s="2">
        <f t="shared" si="2"/>
        <v>3</v>
      </c>
      <c r="F35" s="2">
        <f t="shared" si="2"/>
        <v>2</v>
      </c>
      <c r="G35" s="2">
        <f t="shared" si="2"/>
        <v>3</v>
      </c>
      <c r="H35" s="2">
        <f t="shared" si="2"/>
        <v>5</v>
      </c>
      <c r="I35" s="2">
        <f t="shared" si="2"/>
        <v>6</v>
      </c>
      <c r="J35" s="2">
        <f t="shared" si="2"/>
        <v>5</v>
      </c>
      <c r="K35" s="2">
        <f t="shared" si="2"/>
        <v>2</v>
      </c>
      <c r="L35" s="2">
        <f t="shared" si="2"/>
        <v>5</v>
      </c>
      <c r="M35" s="2">
        <f t="shared" si="2"/>
        <v>6</v>
      </c>
      <c r="N35" s="2">
        <f t="shared" si="2"/>
        <v>1</v>
      </c>
      <c r="O35" s="2">
        <f t="shared" si="2"/>
        <v>5</v>
      </c>
      <c r="P35" s="2">
        <f t="shared" si="2"/>
        <v>6</v>
      </c>
      <c r="Q35" s="2">
        <f t="shared" si="2"/>
        <v>6</v>
      </c>
      <c r="R35" s="2">
        <f t="shared" si="2"/>
        <v>6</v>
      </c>
      <c r="S35" s="2">
        <f t="shared" si="2"/>
        <v>6</v>
      </c>
      <c r="T35" s="2">
        <f t="shared" si="2"/>
        <v>4</v>
      </c>
      <c r="U35" s="2">
        <f t="shared" si="2"/>
        <v>7</v>
      </c>
      <c r="V35" s="2">
        <f t="shared" si="2"/>
        <v>8</v>
      </c>
      <c r="W35" s="2">
        <f t="shared" si="2"/>
        <v>8</v>
      </c>
      <c r="X35" s="2">
        <f t="shared" si="2"/>
        <v>6</v>
      </c>
      <c r="Y35" s="2">
        <f t="shared" si="2"/>
        <v>7</v>
      </c>
      <c r="Z35" s="2">
        <f t="shared" si="2"/>
        <v>7</v>
      </c>
      <c r="AA35" s="2">
        <f t="shared" si="2"/>
        <v>5</v>
      </c>
      <c r="AB35" s="2">
        <f t="shared" si="2"/>
        <v>4</v>
      </c>
      <c r="AC35" s="2">
        <f t="shared" si="2"/>
        <v>7</v>
      </c>
      <c r="AD35" s="2">
        <f t="shared" si="2"/>
        <v>8</v>
      </c>
      <c r="AE35" s="2">
        <f t="shared" si="2"/>
        <v>7</v>
      </c>
      <c r="AF35" s="2">
        <f t="shared" si="2"/>
        <v>8</v>
      </c>
      <c r="AG35" s="2">
        <f t="shared" si="2"/>
        <v>3</v>
      </c>
      <c r="AH35" s="2">
        <f t="shared" si="2"/>
        <v>8</v>
      </c>
      <c r="AI35" s="2">
        <f t="shared" si="2"/>
        <v>3</v>
      </c>
      <c r="AJ35" s="10"/>
    </row>
    <row r="36" spans="1:36" x14ac:dyDescent="0.25">
      <c r="A36" s="41" t="s">
        <v>53</v>
      </c>
      <c r="B36" s="1" t="s">
        <v>55</v>
      </c>
      <c r="C36" s="2">
        <f>C34/$B$28</f>
        <v>3</v>
      </c>
      <c r="D36" s="2">
        <f t="shared" ref="D36:AI36" si="3">D34/$B$28</f>
        <v>6</v>
      </c>
      <c r="E36" s="2">
        <f t="shared" si="3"/>
        <v>6</v>
      </c>
      <c r="F36" s="2">
        <f t="shared" si="3"/>
        <v>3</v>
      </c>
      <c r="G36" s="2">
        <f t="shared" si="3"/>
        <v>9</v>
      </c>
      <c r="H36" s="2">
        <f t="shared" si="3"/>
        <v>9</v>
      </c>
      <c r="I36" s="2">
        <f t="shared" si="3"/>
        <v>9</v>
      </c>
      <c r="J36" s="2">
        <f t="shared" si="3"/>
        <v>9</v>
      </c>
      <c r="K36" s="2">
        <f t="shared" si="3"/>
        <v>6</v>
      </c>
      <c r="L36" s="2">
        <f t="shared" si="3"/>
        <v>6</v>
      </c>
      <c r="M36" s="2">
        <f t="shared" si="3"/>
        <v>9</v>
      </c>
      <c r="N36" s="2">
        <f t="shared" si="3"/>
        <v>3</v>
      </c>
      <c r="O36" s="2">
        <f t="shared" si="3"/>
        <v>6</v>
      </c>
      <c r="P36" s="2">
        <f t="shared" si="3"/>
        <v>9</v>
      </c>
      <c r="Q36" s="2">
        <f t="shared" si="3"/>
        <v>9</v>
      </c>
      <c r="R36" s="2">
        <f t="shared" si="3"/>
        <v>9</v>
      </c>
      <c r="S36" s="2">
        <f t="shared" si="3"/>
        <v>9</v>
      </c>
      <c r="T36" s="2">
        <f t="shared" si="3"/>
        <v>6</v>
      </c>
      <c r="U36" s="2">
        <f t="shared" si="3"/>
        <v>9</v>
      </c>
      <c r="V36" s="2">
        <f t="shared" si="3"/>
        <v>12</v>
      </c>
      <c r="W36" s="2">
        <f t="shared" si="3"/>
        <v>12</v>
      </c>
      <c r="X36" s="2">
        <f t="shared" si="3"/>
        <v>9</v>
      </c>
      <c r="Y36" s="2">
        <f t="shared" si="3"/>
        <v>9</v>
      </c>
      <c r="Z36" s="2">
        <f t="shared" si="3"/>
        <v>9</v>
      </c>
      <c r="AA36" s="2">
        <f t="shared" si="3"/>
        <v>9</v>
      </c>
      <c r="AB36" s="2">
        <f t="shared" si="3"/>
        <v>9</v>
      </c>
      <c r="AC36" s="2">
        <f t="shared" si="3"/>
        <v>9</v>
      </c>
      <c r="AD36" s="2">
        <f t="shared" si="3"/>
        <v>12</v>
      </c>
      <c r="AE36" s="2">
        <f t="shared" si="3"/>
        <v>9</v>
      </c>
      <c r="AF36" s="2">
        <f t="shared" si="3"/>
        <v>12</v>
      </c>
      <c r="AG36" s="2">
        <f t="shared" si="3"/>
        <v>6</v>
      </c>
      <c r="AH36" s="2">
        <f t="shared" si="3"/>
        <v>12</v>
      </c>
      <c r="AI36" s="2">
        <f t="shared" si="3"/>
        <v>9</v>
      </c>
      <c r="AJ36" s="2">
        <f>C36*D36*E36*F36*G36*H36*I36*J36*K36*L36*M36*N36*O36*P36*Q36*R36*S36*T36*U36*V36*W36*X36*Y36*Z36*AA36*AB36*AC36*AD36*AE36*AF36*AG36*AH36*AI36</f>
        <v>2.8228897512823947E+29</v>
      </c>
    </row>
    <row r="37" spans="1:36" x14ac:dyDescent="0.25">
      <c r="A37" s="41"/>
      <c r="B37" s="1" t="s">
        <v>42</v>
      </c>
      <c r="C37" s="2">
        <f>C35/$C$28</f>
        <v>3</v>
      </c>
      <c r="D37" s="2">
        <f t="shared" ref="D37:AI37" si="4">D35/$C$28</f>
        <v>6</v>
      </c>
      <c r="E37" s="2">
        <f t="shared" si="4"/>
        <v>4.5</v>
      </c>
      <c r="F37" s="2">
        <f t="shared" si="4"/>
        <v>3</v>
      </c>
      <c r="G37" s="2">
        <f t="shared" si="4"/>
        <v>4.5</v>
      </c>
      <c r="H37" s="2">
        <f t="shared" si="4"/>
        <v>7.5</v>
      </c>
      <c r="I37" s="2">
        <f t="shared" si="4"/>
        <v>9</v>
      </c>
      <c r="J37" s="2">
        <f t="shared" si="4"/>
        <v>7.5</v>
      </c>
      <c r="K37" s="2">
        <f t="shared" si="4"/>
        <v>3</v>
      </c>
      <c r="L37" s="2">
        <f t="shared" si="4"/>
        <v>7.5</v>
      </c>
      <c r="M37" s="2">
        <f t="shared" si="4"/>
        <v>9</v>
      </c>
      <c r="N37" s="2">
        <f t="shared" si="4"/>
        <v>1.5</v>
      </c>
      <c r="O37" s="2">
        <f t="shared" si="4"/>
        <v>7.5</v>
      </c>
      <c r="P37" s="2">
        <f t="shared" si="4"/>
        <v>9</v>
      </c>
      <c r="Q37" s="2">
        <f t="shared" si="4"/>
        <v>9</v>
      </c>
      <c r="R37" s="2">
        <f t="shared" si="4"/>
        <v>9</v>
      </c>
      <c r="S37" s="2">
        <f t="shared" si="4"/>
        <v>9</v>
      </c>
      <c r="T37" s="2">
        <f t="shared" si="4"/>
        <v>6</v>
      </c>
      <c r="U37" s="2">
        <f t="shared" si="4"/>
        <v>10.5</v>
      </c>
      <c r="V37" s="2">
        <f t="shared" si="4"/>
        <v>12</v>
      </c>
      <c r="W37" s="2">
        <f t="shared" si="4"/>
        <v>12</v>
      </c>
      <c r="X37" s="2">
        <f t="shared" si="4"/>
        <v>9</v>
      </c>
      <c r="Y37" s="2">
        <f t="shared" si="4"/>
        <v>10.5</v>
      </c>
      <c r="Z37" s="2">
        <f t="shared" si="4"/>
        <v>10.5</v>
      </c>
      <c r="AA37" s="2">
        <f t="shared" si="4"/>
        <v>7.5</v>
      </c>
      <c r="AB37" s="2">
        <f t="shared" si="4"/>
        <v>6</v>
      </c>
      <c r="AC37" s="2">
        <f t="shared" si="4"/>
        <v>10.5</v>
      </c>
      <c r="AD37" s="2">
        <f t="shared" si="4"/>
        <v>12</v>
      </c>
      <c r="AE37" s="2">
        <f t="shared" si="4"/>
        <v>10.5</v>
      </c>
      <c r="AF37" s="2">
        <f t="shared" si="4"/>
        <v>12</v>
      </c>
      <c r="AG37" s="2">
        <f t="shared" si="4"/>
        <v>4.5</v>
      </c>
      <c r="AH37" s="2">
        <f t="shared" si="4"/>
        <v>12</v>
      </c>
      <c r="AI37" s="2">
        <f t="shared" si="4"/>
        <v>4.5</v>
      </c>
      <c r="AJ37" s="2">
        <f>C37*D37*E37*F37*G37*H37*I37*J37*K37*L37*M37*N37*O37*P37*Q37*R37*S37*T37*U37*V37*W37*X37*Y37*Z37*AA37*AB37*AC37*AD37*AE37*AF37*AG37*AH37*AI37</f>
        <v>1.2930503557031212E+28</v>
      </c>
    </row>
    <row r="38" spans="1:36" x14ac:dyDescent="0.25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10"/>
    </row>
    <row r="39" spans="1:36" x14ac:dyDescent="0.25">
      <c r="A39" s="42" t="s">
        <v>56</v>
      </c>
      <c r="B39" s="43"/>
      <c r="C39" s="11" t="s">
        <v>57</v>
      </c>
      <c r="D39" s="10"/>
      <c r="E39" s="10"/>
      <c r="F39" s="10"/>
      <c r="G39" s="10"/>
      <c r="H39" s="10"/>
      <c r="I39" s="10"/>
      <c r="J39" s="10"/>
      <c r="K39" s="10"/>
      <c r="L39" s="1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10"/>
    </row>
    <row r="40" spans="1:36" x14ac:dyDescent="0.25">
      <c r="A40" s="12" t="s">
        <v>55</v>
      </c>
      <c r="B40" s="13">
        <f>AJ36*$B$28</f>
        <v>9.4096325042746484E+28</v>
      </c>
      <c r="C40" s="44" t="str">
        <f>IF(B40&gt;B41,A40, A41)</f>
        <v>Yes</v>
      </c>
      <c r="D40" s="10"/>
      <c r="E40" s="10"/>
      <c r="F40" s="10"/>
      <c r="G40" s="10"/>
      <c r="H40" s="10"/>
      <c r="I40" s="10"/>
      <c r="J40" s="10"/>
      <c r="K40" s="10"/>
      <c r="L40" s="1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10"/>
    </row>
    <row r="41" spans="1:36" x14ac:dyDescent="0.25">
      <c r="A41" s="12" t="s">
        <v>42</v>
      </c>
      <c r="B41" s="13">
        <f>AJ37*$C$28</f>
        <v>8.6203357046874747E+27</v>
      </c>
      <c r="C41" s="45"/>
      <c r="D41" s="10"/>
      <c r="E41" s="10"/>
      <c r="F41" s="10"/>
      <c r="G41" s="10"/>
      <c r="H41" s="10"/>
      <c r="I41" s="10"/>
      <c r="J41" s="10"/>
      <c r="K41" s="10"/>
      <c r="L41" s="10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10"/>
    </row>
    <row r="43" spans="1:36" x14ac:dyDescent="0.25">
      <c r="A43" s="36"/>
      <c r="B43" s="37" t="s">
        <v>0</v>
      </c>
      <c r="C43" s="37" t="s">
        <v>1</v>
      </c>
      <c r="D43" s="37" t="s">
        <v>2</v>
      </c>
      <c r="E43" s="37" t="s">
        <v>3</v>
      </c>
      <c r="F43" s="37" t="s">
        <v>4</v>
      </c>
      <c r="G43" s="37" t="s">
        <v>5</v>
      </c>
      <c r="H43" s="37" t="s">
        <v>6</v>
      </c>
      <c r="I43" s="37" t="s">
        <v>7</v>
      </c>
      <c r="J43" s="37" t="s">
        <v>8</v>
      </c>
      <c r="K43" s="37" t="s">
        <v>9</v>
      </c>
      <c r="L43" s="37" t="s">
        <v>10</v>
      </c>
      <c r="M43" s="37" t="s">
        <v>11</v>
      </c>
      <c r="N43" s="37" t="s">
        <v>12</v>
      </c>
      <c r="O43" s="37" t="s">
        <v>13</v>
      </c>
      <c r="P43" s="37" t="s">
        <v>14</v>
      </c>
      <c r="Q43" s="37" t="s">
        <v>15</v>
      </c>
      <c r="R43" s="37" t="s">
        <v>16</v>
      </c>
      <c r="S43" s="37" t="s">
        <v>17</v>
      </c>
      <c r="T43" s="37" t="s">
        <v>18</v>
      </c>
      <c r="U43" s="37" t="s">
        <v>19</v>
      </c>
      <c r="V43" s="37" t="s">
        <v>20</v>
      </c>
      <c r="W43" s="37" t="s">
        <v>21</v>
      </c>
      <c r="X43" s="37" t="s">
        <v>22</v>
      </c>
      <c r="Y43" s="37" t="s">
        <v>23</v>
      </c>
      <c r="Z43" s="37" t="s">
        <v>24</v>
      </c>
      <c r="AA43" s="37" t="s">
        <v>25</v>
      </c>
      <c r="AB43" s="37" t="s">
        <v>26</v>
      </c>
      <c r="AC43" s="37" t="s">
        <v>27</v>
      </c>
      <c r="AD43" s="37" t="s">
        <v>28</v>
      </c>
      <c r="AE43" s="37" t="s">
        <v>29</v>
      </c>
      <c r="AF43" s="37" t="s">
        <v>30</v>
      </c>
      <c r="AG43" s="37" t="s">
        <v>31</v>
      </c>
      <c r="AH43" s="37" t="s">
        <v>32</v>
      </c>
      <c r="AI43" s="37"/>
    </row>
    <row r="44" spans="1:36" x14ac:dyDescent="0.25">
      <c r="A44" s="26" t="s">
        <v>121</v>
      </c>
      <c r="B44" s="26">
        <v>0</v>
      </c>
      <c r="C44" s="26">
        <v>0.1</v>
      </c>
      <c r="D44" s="26">
        <v>0.2</v>
      </c>
      <c r="E44" s="26">
        <v>0.5</v>
      </c>
      <c r="F44" s="26">
        <v>0.1</v>
      </c>
      <c r="G44" s="26">
        <v>0.9</v>
      </c>
      <c r="H44" s="26">
        <v>0.55416666666666603</v>
      </c>
      <c r="I44" s="26">
        <v>0.848101265822784</v>
      </c>
      <c r="J44" s="26">
        <v>0.42278481012658198</v>
      </c>
      <c r="K44" s="26">
        <v>0.13055555555555501</v>
      </c>
      <c r="L44" s="26">
        <v>0.05</v>
      </c>
      <c r="M44" s="26">
        <v>0.26216216216216198</v>
      </c>
      <c r="N44" s="26">
        <v>0.515625</v>
      </c>
      <c r="O44" s="26">
        <v>7.4999999999999997E-2</v>
      </c>
      <c r="P44" s="26">
        <v>5.0632911392405E-2</v>
      </c>
      <c r="Q44" s="26">
        <v>9.9999999999999895E-2</v>
      </c>
      <c r="R44" s="26">
        <v>0.938271604938271</v>
      </c>
      <c r="S44" s="26">
        <v>0.38271604938271597</v>
      </c>
      <c r="T44" s="26">
        <v>0.96296296296296302</v>
      </c>
      <c r="U44" s="26">
        <v>1</v>
      </c>
      <c r="V44" s="26">
        <v>1</v>
      </c>
      <c r="W44" s="26">
        <v>0.12345679012345601</v>
      </c>
      <c r="X44" s="26">
        <v>0.96296296296296302</v>
      </c>
      <c r="Y44" s="26">
        <v>0.95061728395061695</v>
      </c>
      <c r="Z44" s="26">
        <v>0.75308641975308599</v>
      </c>
      <c r="AA44" s="26">
        <v>0.35802469135802401</v>
      </c>
      <c r="AB44" s="26">
        <v>0.98765432098765404</v>
      </c>
      <c r="AC44" s="26">
        <v>1</v>
      </c>
      <c r="AD44" s="26">
        <v>0.97530864197530798</v>
      </c>
      <c r="AE44" s="26">
        <v>1</v>
      </c>
      <c r="AF44" s="26">
        <v>0.46249999999999902</v>
      </c>
      <c r="AG44" s="26">
        <v>1</v>
      </c>
      <c r="AH44" s="26">
        <v>0.89610389610389596</v>
      </c>
      <c r="AI44" s="26" t="s">
        <v>37</v>
      </c>
    </row>
    <row r="46" spans="1:36" x14ac:dyDescent="0.25">
      <c r="A46" s="41" t="s">
        <v>54</v>
      </c>
      <c r="B46" s="41"/>
      <c r="C46" s="1" t="s">
        <v>0</v>
      </c>
      <c r="D46" s="1" t="s">
        <v>1</v>
      </c>
      <c r="E46" s="1" t="s">
        <v>2</v>
      </c>
      <c r="F46" s="1" t="s">
        <v>3</v>
      </c>
      <c r="G46" s="1" t="s">
        <v>4</v>
      </c>
      <c r="H46" s="1" t="s">
        <v>5</v>
      </c>
      <c r="I46" s="1" t="s">
        <v>6</v>
      </c>
      <c r="J46" s="1" t="s">
        <v>7</v>
      </c>
      <c r="K46" s="1" t="s">
        <v>8</v>
      </c>
      <c r="L46" s="1" t="s">
        <v>9</v>
      </c>
      <c r="M46" s="1" t="s">
        <v>10</v>
      </c>
      <c r="N46" s="1" t="s">
        <v>11</v>
      </c>
      <c r="O46" s="1" t="s">
        <v>12</v>
      </c>
      <c r="P46" s="1" t="s">
        <v>13</v>
      </c>
      <c r="Q46" s="1" t="s">
        <v>14</v>
      </c>
      <c r="R46" s="1" t="s">
        <v>15</v>
      </c>
      <c r="S46" s="1" t="s">
        <v>16</v>
      </c>
      <c r="T46" s="1" t="s">
        <v>17</v>
      </c>
      <c r="U46" s="1" t="s">
        <v>18</v>
      </c>
      <c r="V46" s="1" t="s">
        <v>19</v>
      </c>
      <c r="W46" s="1" t="s">
        <v>20</v>
      </c>
      <c r="X46" s="1" t="s">
        <v>21</v>
      </c>
      <c r="Y46" s="1" t="s">
        <v>22</v>
      </c>
      <c r="Z46" s="1" t="s">
        <v>23</v>
      </c>
      <c r="AA46" s="1" t="s">
        <v>24</v>
      </c>
      <c r="AB46" s="1" t="s">
        <v>25</v>
      </c>
      <c r="AC46" s="1" t="s">
        <v>26</v>
      </c>
      <c r="AD46" s="1" t="s">
        <v>27</v>
      </c>
      <c r="AE46" s="1" t="s">
        <v>28</v>
      </c>
      <c r="AF46" s="1" t="s">
        <v>29</v>
      </c>
      <c r="AG46" s="1" t="s">
        <v>30</v>
      </c>
      <c r="AH46" s="1" t="s">
        <v>31</v>
      </c>
      <c r="AI46" s="1" t="s">
        <v>32</v>
      </c>
    </row>
    <row r="47" spans="1:36" x14ac:dyDescent="0.25">
      <c r="A47" s="41" t="s">
        <v>55</v>
      </c>
      <c r="B47" s="41"/>
      <c r="C47" s="2">
        <f t="shared" ref="C47:M47" si="5">COUNTIFS(B$4:B$15,B44,$AI$4:$AI$15,"YES")</f>
        <v>0</v>
      </c>
      <c r="D47" s="2">
        <f t="shared" si="5"/>
        <v>1</v>
      </c>
      <c r="E47" s="2">
        <f t="shared" si="5"/>
        <v>1</v>
      </c>
      <c r="F47" s="2">
        <f t="shared" si="5"/>
        <v>1</v>
      </c>
      <c r="G47" s="2">
        <f t="shared" si="5"/>
        <v>1</v>
      </c>
      <c r="H47" s="2">
        <f t="shared" si="5"/>
        <v>1</v>
      </c>
      <c r="I47" s="2">
        <f t="shared" si="5"/>
        <v>1</v>
      </c>
      <c r="J47" s="2">
        <f t="shared" si="5"/>
        <v>1</v>
      </c>
      <c r="K47" s="2">
        <f t="shared" si="5"/>
        <v>1</v>
      </c>
      <c r="L47" s="2">
        <f t="shared" si="5"/>
        <v>1</v>
      </c>
      <c r="M47" s="2">
        <f t="shared" si="5"/>
        <v>1</v>
      </c>
      <c r="N47" s="2">
        <f>COUNTIFS(M$4:M$15,M44,$AI$4:$AI$15,"YES")</f>
        <v>1</v>
      </c>
      <c r="O47" s="2">
        <f t="shared" ref="O47:AI47" si="6">COUNTIFS(N$4:N$15,N44,$AI$4:$AI$15,"YES")</f>
        <v>1</v>
      </c>
      <c r="P47" s="2">
        <f t="shared" si="6"/>
        <v>1</v>
      </c>
      <c r="Q47" s="2">
        <f t="shared" si="6"/>
        <v>1</v>
      </c>
      <c r="R47" s="2">
        <f t="shared" si="6"/>
        <v>1</v>
      </c>
      <c r="S47" s="2">
        <f t="shared" si="6"/>
        <v>1</v>
      </c>
      <c r="T47" s="2">
        <f t="shared" si="6"/>
        <v>1</v>
      </c>
      <c r="U47" s="2">
        <f t="shared" si="6"/>
        <v>1</v>
      </c>
      <c r="V47" s="2">
        <f t="shared" si="6"/>
        <v>4</v>
      </c>
      <c r="W47" s="2">
        <f t="shared" si="6"/>
        <v>4</v>
      </c>
      <c r="X47" s="2">
        <f t="shared" si="6"/>
        <v>1</v>
      </c>
      <c r="Y47" s="2">
        <f t="shared" si="6"/>
        <v>1</v>
      </c>
      <c r="Z47" s="2">
        <f t="shared" si="6"/>
        <v>1</v>
      </c>
      <c r="AA47" s="2">
        <f t="shared" si="6"/>
        <v>1</v>
      </c>
      <c r="AB47" s="2">
        <f t="shared" si="6"/>
        <v>1</v>
      </c>
      <c r="AC47" s="2">
        <f t="shared" si="6"/>
        <v>1</v>
      </c>
      <c r="AD47" s="2">
        <f t="shared" si="6"/>
        <v>4</v>
      </c>
      <c r="AE47" s="2">
        <f t="shared" si="6"/>
        <v>1</v>
      </c>
      <c r="AF47" s="2">
        <f t="shared" si="6"/>
        <v>4</v>
      </c>
      <c r="AG47" s="2">
        <f t="shared" si="6"/>
        <v>1</v>
      </c>
      <c r="AH47" s="2">
        <f t="shared" si="6"/>
        <v>4</v>
      </c>
      <c r="AI47" s="2">
        <f t="shared" si="6"/>
        <v>1</v>
      </c>
      <c r="AJ47" s="10"/>
    </row>
    <row r="48" spans="1:36" x14ac:dyDescent="0.25">
      <c r="A48" s="41" t="s">
        <v>42</v>
      </c>
      <c r="B48" s="41"/>
      <c r="C48" s="2">
        <f>COUNTIFS(B$4:B$15,B44,$AI$4:$AI$15,"No")</f>
        <v>0</v>
      </c>
      <c r="D48" s="2">
        <f t="shared" ref="D48:AI48" si="7">COUNTIFS(C$4:C$15,C44,$AI$4:$AI$15,"No")</f>
        <v>1</v>
      </c>
      <c r="E48" s="2">
        <f t="shared" si="7"/>
        <v>2</v>
      </c>
      <c r="F48" s="2">
        <f t="shared" si="7"/>
        <v>1</v>
      </c>
      <c r="G48" s="2">
        <f t="shared" si="7"/>
        <v>1</v>
      </c>
      <c r="H48" s="2">
        <f t="shared" si="7"/>
        <v>2</v>
      </c>
      <c r="I48" s="2">
        <f t="shared" si="7"/>
        <v>1</v>
      </c>
      <c r="J48" s="2">
        <f t="shared" si="7"/>
        <v>2</v>
      </c>
      <c r="K48" s="2">
        <f t="shared" si="7"/>
        <v>1</v>
      </c>
      <c r="L48" s="2">
        <f t="shared" si="7"/>
        <v>1</v>
      </c>
      <c r="M48" s="2">
        <f t="shared" si="7"/>
        <v>1</v>
      </c>
      <c r="N48" s="2">
        <f t="shared" si="7"/>
        <v>2</v>
      </c>
      <c r="O48" s="2">
        <f t="shared" si="7"/>
        <v>1</v>
      </c>
      <c r="P48" s="2">
        <f t="shared" si="7"/>
        <v>1</v>
      </c>
      <c r="Q48" s="2">
        <f t="shared" si="7"/>
        <v>2</v>
      </c>
      <c r="R48" s="2">
        <f t="shared" si="7"/>
        <v>1</v>
      </c>
      <c r="S48" s="2">
        <f t="shared" si="7"/>
        <v>1</v>
      </c>
      <c r="T48" s="2">
        <f t="shared" si="7"/>
        <v>1</v>
      </c>
      <c r="U48" s="2">
        <f t="shared" si="7"/>
        <v>1</v>
      </c>
      <c r="V48" s="2">
        <f t="shared" si="7"/>
        <v>8</v>
      </c>
      <c r="W48" s="2">
        <f t="shared" si="7"/>
        <v>8</v>
      </c>
      <c r="X48" s="2">
        <f t="shared" si="7"/>
        <v>1</v>
      </c>
      <c r="Y48" s="2">
        <f t="shared" si="7"/>
        <v>1</v>
      </c>
      <c r="Z48" s="2">
        <f t="shared" si="7"/>
        <v>1</v>
      </c>
      <c r="AA48" s="2">
        <f t="shared" si="7"/>
        <v>1</v>
      </c>
      <c r="AB48" s="2">
        <f t="shared" si="7"/>
        <v>1</v>
      </c>
      <c r="AC48" s="2">
        <f t="shared" si="7"/>
        <v>1</v>
      </c>
      <c r="AD48" s="2">
        <f t="shared" si="7"/>
        <v>8</v>
      </c>
      <c r="AE48" s="2">
        <f t="shared" si="7"/>
        <v>1</v>
      </c>
      <c r="AF48" s="2">
        <f t="shared" si="7"/>
        <v>8</v>
      </c>
      <c r="AG48" s="2">
        <f t="shared" si="7"/>
        <v>1</v>
      </c>
      <c r="AH48" s="2">
        <f t="shared" si="7"/>
        <v>8</v>
      </c>
      <c r="AI48" s="2">
        <f t="shared" si="7"/>
        <v>1</v>
      </c>
      <c r="AJ48" s="10"/>
    </row>
    <row r="49" spans="1:36" x14ac:dyDescent="0.25">
      <c r="A49" s="41" t="s">
        <v>53</v>
      </c>
      <c r="B49" s="1" t="s">
        <v>55</v>
      </c>
      <c r="C49" s="2">
        <f>C47/$B$28</f>
        <v>0</v>
      </c>
      <c r="D49" s="2">
        <f t="shared" ref="D49:AI49" si="8">D47/$B$28</f>
        <v>3</v>
      </c>
      <c r="E49" s="2">
        <f t="shared" si="8"/>
        <v>3</v>
      </c>
      <c r="F49" s="2">
        <f t="shared" si="8"/>
        <v>3</v>
      </c>
      <c r="G49" s="2">
        <f t="shared" si="8"/>
        <v>3</v>
      </c>
      <c r="H49" s="2">
        <f t="shared" si="8"/>
        <v>3</v>
      </c>
      <c r="I49" s="2">
        <f t="shared" si="8"/>
        <v>3</v>
      </c>
      <c r="J49" s="2">
        <f t="shared" si="8"/>
        <v>3</v>
      </c>
      <c r="K49" s="2">
        <f t="shared" si="8"/>
        <v>3</v>
      </c>
      <c r="L49" s="2">
        <f t="shared" si="8"/>
        <v>3</v>
      </c>
      <c r="M49" s="2">
        <f t="shared" si="8"/>
        <v>3</v>
      </c>
      <c r="N49" s="2">
        <f t="shared" si="8"/>
        <v>3</v>
      </c>
      <c r="O49" s="2">
        <f t="shared" si="8"/>
        <v>3</v>
      </c>
      <c r="P49" s="2">
        <f t="shared" si="8"/>
        <v>3</v>
      </c>
      <c r="Q49" s="2">
        <f t="shared" si="8"/>
        <v>3</v>
      </c>
      <c r="R49" s="2">
        <f t="shared" si="8"/>
        <v>3</v>
      </c>
      <c r="S49" s="2">
        <f t="shared" si="8"/>
        <v>3</v>
      </c>
      <c r="T49" s="2">
        <f t="shared" si="8"/>
        <v>3</v>
      </c>
      <c r="U49" s="2">
        <f t="shared" si="8"/>
        <v>3</v>
      </c>
      <c r="V49" s="2">
        <f t="shared" si="8"/>
        <v>12</v>
      </c>
      <c r="W49" s="2">
        <f t="shared" si="8"/>
        <v>12</v>
      </c>
      <c r="X49" s="2">
        <f t="shared" si="8"/>
        <v>3</v>
      </c>
      <c r="Y49" s="2">
        <f t="shared" si="8"/>
        <v>3</v>
      </c>
      <c r="Z49" s="2">
        <f t="shared" si="8"/>
        <v>3</v>
      </c>
      <c r="AA49" s="2">
        <f t="shared" si="8"/>
        <v>3</v>
      </c>
      <c r="AB49" s="2">
        <f t="shared" si="8"/>
        <v>3</v>
      </c>
      <c r="AC49" s="2">
        <f t="shared" si="8"/>
        <v>3</v>
      </c>
      <c r="AD49" s="2">
        <f t="shared" si="8"/>
        <v>12</v>
      </c>
      <c r="AE49" s="2">
        <f t="shared" si="8"/>
        <v>3</v>
      </c>
      <c r="AF49" s="2">
        <f t="shared" si="8"/>
        <v>12</v>
      </c>
      <c r="AG49" s="2">
        <f t="shared" si="8"/>
        <v>3</v>
      </c>
      <c r="AH49" s="2">
        <f t="shared" si="8"/>
        <v>12</v>
      </c>
      <c r="AI49" s="2">
        <f t="shared" si="8"/>
        <v>3</v>
      </c>
      <c r="AJ49" s="2">
        <f>C49*D49*E49*F49*G49*H49*I49*J49*K49*L49*M49*N49*O49*P49*Q49*R49*S49*T49*U49*V49*W49*X49*Y49*Z49*AA49*AB49*AC49*AD49*AE49*AF49*AG49*AH49*AI49</f>
        <v>0</v>
      </c>
    </row>
    <row r="50" spans="1:36" x14ac:dyDescent="0.25">
      <c r="A50" s="41"/>
      <c r="B50" s="1" t="s">
        <v>42</v>
      </c>
      <c r="C50" s="2">
        <f>C48/$C$28</f>
        <v>0</v>
      </c>
      <c r="D50" s="2">
        <f t="shared" ref="D50:AI50" si="9">D48/$C$28</f>
        <v>1.5</v>
      </c>
      <c r="E50" s="2">
        <f t="shared" si="9"/>
        <v>3</v>
      </c>
      <c r="F50" s="2">
        <f t="shared" si="9"/>
        <v>1.5</v>
      </c>
      <c r="G50" s="2">
        <f t="shared" si="9"/>
        <v>1.5</v>
      </c>
      <c r="H50" s="2">
        <f t="shared" si="9"/>
        <v>3</v>
      </c>
      <c r="I50" s="2">
        <f t="shared" si="9"/>
        <v>1.5</v>
      </c>
      <c r="J50" s="2">
        <f t="shared" si="9"/>
        <v>3</v>
      </c>
      <c r="K50" s="2">
        <f t="shared" si="9"/>
        <v>1.5</v>
      </c>
      <c r="L50" s="2">
        <f t="shared" si="9"/>
        <v>1.5</v>
      </c>
      <c r="M50" s="2">
        <f t="shared" si="9"/>
        <v>1.5</v>
      </c>
      <c r="N50" s="2">
        <f t="shared" si="9"/>
        <v>3</v>
      </c>
      <c r="O50" s="2">
        <f t="shared" si="9"/>
        <v>1.5</v>
      </c>
      <c r="P50" s="2">
        <f t="shared" si="9"/>
        <v>1.5</v>
      </c>
      <c r="Q50" s="2">
        <f t="shared" si="9"/>
        <v>3</v>
      </c>
      <c r="R50" s="2">
        <f t="shared" si="9"/>
        <v>1.5</v>
      </c>
      <c r="S50" s="2">
        <f t="shared" si="9"/>
        <v>1.5</v>
      </c>
      <c r="T50" s="2">
        <f t="shared" si="9"/>
        <v>1.5</v>
      </c>
      <c r="U50" s="2">
        <f t="shared" si="9"/>
        <v>1.5</v>
      </c>
      <c r="V50" s="2">
        <f t="shared" si="9"/>
        <v>12</v>
      </c>
      <c r="W50" s="2">
        <f t="shared" si="9"/>
        <v>12</v>
      </c>
      <c r="X50" s="2">
        <f t="shared" si="9"/>
        <v>1.5</v>
      </c>
      <c r="Y50" s="2">
        <f t="shared" si="9"/>
        <v>1.5</v>
      </c>
      <c r="Z50" s="2">
        <f t="shared" si="9"/>
        <v>1.5</v>
      </c>
      <c r="AA50" s="2">
        <f t="shared" si="9"/>
        <v>1.5</v>
      </c>
      <c r="AB50" s="2">
        <f t="shared" si="9"/>
        <v>1.5</v>
      </c>
      <c r="AC50" s="2">
        <f t="shared" si="9"/>
        <v>1.5</v>
      </c>
      <c r="AD50" s="2">
        <f t="shared" si="9"/>
        <v>12</v>
      </c>
      <c r="AE50" s="2">
        <f t="shared" si="9"/>
        <v>1.5</v>
      </c>
      <c r="AF50" s="2">
        <f t="shared" si="9"/>
        <v>12</v>
      </c>
      <c r="AG50" s="2">
        <f t="shared" si="9"/>
        <v>1.5</v>
      </c>
      <c r="AH50" s="2">
        <f t="shared" si="9"/>
        <v>12</v>
      </c>
      <c r="AI50" s="2">
        <f t="shared" si="9"/>
        <v>1.5</v>
      </c>
      <c r="AJ50" s="2">
        <f>C50*D50*E50*F50*G50*H50*I50*J50*K50*L50*M50*N50*O50*P50*Q50*R50*S50*T50*U50*V50*W50*X50*Y50*Z50*AA50*AB50*AC50*AD50*AE50*AF50*AG50*AH50*AI50</f>
        <v>0</v>
      </c>
    </row>
    <row r="51" spans="1:36" x14ac:dyDescent="0.25">
      <c r="A51" s="9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10"/>
    </row>
    <row r="52" spans="1:36" x14ac:dyDescent="0.25">
      <c r="A52" s="42" t="s">
        <v>56</v>
      </c>
      <c r="B52" s="43"/>
      <c r="C52" s="11" t="s">
        <v>57</v>
      </c>
      <c r="D52" s="10"/>
      <c r="E52" s="10"/>
      <c r="F52" s="10"/>
      <c r="G52" s="10"/>
      <c r="H52" s="10"/>
      <c r="I52" s="10"/>
      <c r="J52" s="10"/>
      <c r="K52" s="10"/>
      <c r="L52" s="10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10"/>
    </row>
    <row r="53" spans="1:36" x14ac:dyDescent="0.25">
      <c r="A53" s="12" t="s">
        <v>55</v>
      </c>
      <c r="B53" s="13">
        <f>AJ49*$B$28</f>
        <v>0</v>
      </c>
      <c r="C53" s="44" t="str">
        <f>IF(B53&gt;B54,A53, A54)</f>
        <v>No</v>
      </c>
      <c r="D53" s="10"/>
      <c r="E53" s="10"/>
      <c r="F53" s="10"/>
      <c r="G53" s="10"/>
      <c r="H53" s="10"/>
      <c r="I53" s="10"/>
      <c r="J53" s="10"/>
      <c r="K53" s="10"/>
      <c r="L53" s="10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10"/>
    </row>
    <row r="54" spans="1:36" x14ac:dyDescent="0.25">
      <c r="A54" s="12" t="s">
        <v>42</v>
      </c>
      <c r="B54" s="13">
        <f>AJ50*$C$28</f>
        <v>0</v>
      </c>
      <c r="C54" s="45"/>
      <c r="D54" s="10"/>
      <c r="E54" s="10"/>
      <c r="F54" s="10"/>
      <c r="G54" s="10"/>
      <c r="H54" s="10"/>
      <c r="I54" s="10"/>
      <c r="J54" s="10"/>
      <c r="K54" s="10"/>
      <c r="L54" s="10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10"/>
    </row>
    <row r="56" spans="1:36" x14ac:dyDescent="0.25">
      <c r="A56" s="36"/>
      <c r="B56" s="37" t="s">
        <v>0</v>
      </c>
      <c r="C56" s="37" t="s">
        <v>1</v>
      </c>
      <c r="D56" s="37" t="s">
        <v>2</v>
      </c>
      <c r="E56" s="37" t="s">
        <v>3</v>
      </c>
      <c r="F56" s="37" t="s">
        <v>4</v>
      </c>
      <c r="G56" s="37" t="s">
        <v>5</v>
      </c>
      <c r="H56" s="37" t="s">
        <v>6</v>
      </c>
      <c r="I56" s="37" t="s">
        <v>7</v>
      </c>
      <c r="J56" s="37" t="s">
        <v>8</v>
      </c>
      <c r="K56" s="37" t="s">
        <v>9</v>
      </c>
      <c r="L56" s="37" t="s">
        <v>10</v>
      </c>
      <c r="M56" s="37" t="s">
        <v>11</v>
      </c>
      <c r="N56" s="37" t="s">
        <v>12</v>
      </c>
      <c r="O56" s="37" t="s">
        <v>13</v>
      </c>
      <c r="P56" s="37" t="s">
        <v>14</v>
      </c>
      <c r="Q56" s="37" t="s">
        <v>15</v>
      </c>
      <c r="R56" s="37" t="s">
        <v>16</v>
      </c>
      <c r="S56" s="37" t="s">
        <v>17</v>
      </c>
      <c r="T56" s="37" t="s">
        <v>18</v>
      </c>
      <c r="U56" s="37" t="s">
        <v>19</v>
      </c>
      <c r="V56" s="37" t="s">
        <v>20</v>
      </c>
      <c r="W56" s="37" t="s">
        <v>21</v>
      </c>
      <c r="X56" s="37" t="s">
        <v>22</v>
      </c>
      <c r="Y56" s="37" t="s">
        <v>23</v>
      </c>
      <c r="Z56" s="37" t="s">
        <v>24</v>
      </c>
      <c r="AA56" s="37" t="s">
        <v>25</v>
      </c>
      <c r="AB56" s="37" t="s">
        <v>26</v>
      </c>
      <c r="AC56" s="37" t="s">
        <v>27</v>
      </c>
      <c r="AD56" s="37" t="s">
        <v>28</v>
      </c>
      <c r="AE56" s="37" t="s">
        <v>29</v>
      </c>
      <c r="AF56" s="37" t="s">
        <v>30</v>
      </c>
      <c r="AG56" s="37" t="s">
        <v>31</v>
      </c>
      <c r="AH56" s="37" t="s">
        <v>32</v>
      </c>
      <c r="AI56" s="37"/>
    </row>
    <row r="57" spans="1:36" x14ac:dyDescent="0.25">
      <c r="A57" s="26" t="s">
        <v>122</v>
      </c>
      <c r="B57" s="26">
        <v>0</v>
      </c>
      <c r="C57" s="26">
        <v>0</v>
      </c>
      <c r="D57" s="26">
        <v>0</v>
      </c>
      <c r="E57" s="26">
        <v>0.7</v>
      </c>
      <c r="F57" s="26">
        <v>0.3</v>
      </c>
      <c r="G57" s="26">
        <v>1</v>
      </c>
      <c r="H57" s="26">
        <v>0.5</v>
      </c>
      <c r="I57" s="26">
        <v>1</v>
      </c>
      <c r="J57" s="26">
        <v>0.4</v>
      </c>
      <c r="K57" s="26">
        <v>0</v>
      </c>
      <c r="L57" s="26">
        <v>0</v>
      </c>
      <c r="M57" s="26">
        <v>0</v>
      </c>
      <c r="N57" s="26">
        <v>0.5</v>
      </c>
      <c r="O57" s="26">
        <v>0</v>
      </c>
      <c r="P57" s="26">
        <v>0</v>
      </c>
      <c r="Q57" s="26">
        <v>0</v>
      </c>
      <c r="R57" s="26">
        <v>1</v>
      </c>
      <c r="S57" s="26">
        <v>1</v>
      </c>
      <c r="T57" s="26">
        <v>1</v>
      </c>
      <c r="U57" s="26">
        <v>1</v>
      </c>
      <c r="V57" s="26">
        <v>1</v>
      </c>
      <c r="W57" s="26">
        <v>0</v>
      </c>
      <c r="X57" s="26">
        <v>1</v>
      </c>
      <c r="Y57" s="26">
        <v>1</v>
      </c>
      <c r="Z57" s="26">
        <v>1</v>
      </c>
      <c r="AA57" s="26">
        <v>1</v>
      </c>
      <c r="AB57" s="26">
        <v>1</v>
      </c>
      <c r="AC57" s="26">
        <v>1</v>
      </c>
      <c r="AD57" s="26">
        <v>1</v>
      </c>
      <c r="AE57" s="26">
        <v>1</v>
      </c>
      <c r="AF57" s="26">
        <v>0</v>
      </c>
      <c r="AG57" s="26">
        <v>1</v>
      </c>
      <c r="AH57" s="26">
        <v>1</v>
      </c>
      <c r="AI57" s="26" t="s">
        <v>37</v>
      </c>
    </row>
    <row r="59" spans="1:36" x14ac:dyDescent="0.25">
      <c r="A59" s="41" t="s">
        <v>54</v>
      </c>
      <c r="B59" s="41"/>
      <c r="C59" s="1" t="s">
        <v>0</v>
      </c>
      <c r="D59" s="1" t="s">
        <v>1</v>
      </c>
      <c r="E59" s="1" t="s">
        <v>2</v>
      </c>
      <c r="F59" s="1" t="s">
        <v>3</v>
      </c>
      <c r="G59" s="1" t="s">
        <v>4</v>
      </c>
      <c r="H59" s="1" t="s">
        <v>5</v>
      </c>
      <c r="I59" s="1" t="s">
        <v>6</v>
      </c>
      <c r="J59" s="1" t="s">
        <v>7</v>
      </c>
      <c r="K59" s="1" t="s">
        <v>8</v>
      </c>
      <c r="L59" s="1" t="s">
        <v>9</v>
      </c>
      <c r="M59" s="1" t="s">
        <v>10</v>
      </c>
      <c r="N59" s="1" t="s">
        <v>11</v>
      </c>
      <c r="O59" s="1" t="s">
        <v>12</v>
      </c>
      <c r="P59" s="1" t="s">
        <v>13</v>
      </c>
      <c r="Q59" s="1" t="s">
        <v>14</v>
      </c>
      <c r="R59" s="1" t="s">
        <v>15</v>
      </c>
      <c r="S59" s="1" t="s">
        <v>16</v>
      </c>
      <c r="T59" s="1" t="s">
        <v>17</v>
      </c>
      <c r="U59" s="1" t="s">
        <v>18</v>
      </c>
      <c r="V59" s="1" t="s">
        <v>19</v>
      </c>
      <c r="W59" s="1" t="s">
        <v>20</v>
      </c>
      <c r="X59" s="1" t="s">
        <v>21</v>
      </c>
      <c r="Y59" s="1" t="s">
        <v>22</v>
      </c>
      <c r="Z59" s="1" t="s">
        <v>23</v>
      </c>
      <c r="AA59" s="1" t="s">
        <v>24</v>
      </c>
      <c r="AB59" s="1" t="s">
        <v>25</v>
      </c>
      <c r="AC59" s="1" t="s">
        <v>26</v>
      </c>
      <c r="AD59" s="1" t="s">
        <v>27</v>
      </c>
      <c r="AE59" s="1" t="s">
        <v>28</v>
      </c>
      <c r="AF59" s="1" t="s">
        <v>29</v>
      </c>
      <c r="AG59" s="1" t="s">
        <v>30</v>
      </c>
      <c r="AH59" s="1" t="s">
        <v>31</v>
      </c>
      <c r="AI59" s="1" t="s">
        <v>32</v>
      </c>
    </row>
    <row r="60" spans="1:36" x14ac:dyDescent="0.25">
      <c r="A60" s="41" t="s">
        <v>55</v>
      </c>
      <c r="B60" s="41"/>
      <c r="C60" s="2">
        <f t="shared" ref="C60:M60" si="10">COUNTIFS(B$4:B$15,B57,$AI$4:$AI$15,"YES")</f>
        <v>0</v>
      </c>
      <c r="D60" s="2">
        <f t="shared" si="10"/>
        <v>2</v>
      </c>
      <c r="E60" s="2">
        <f t="shared" si="10"/>
        <v>2</v>
      </c>
      <c r="F60" s="2">
        <f t="shared" si="10"/>
        <v>2</v>
      </c>
      <c r="G60" s="2">
        <f t="shared" si="10"/>
        <v>0</v>
      </c>
      <c r="H60" s="2">
        <f t="shared" si="10"/>
        <v>3</v>
      </c>
      <c r="I60" s="2">
        <f t="shared" si="10"/>
        <v>3</v>
      </c>
      <c r="J60" s="2">
        <f t="shared" si="10"/>
        <v>3</v>
      </c>
      <c r="K60" s="2">
        <f t="shared" si="10"/>
        <v>0</v>
      </c>
      <c r="L60" s="2">
        <f t="shared" si="10"/>
        <v>2</v>
      </c>
      <c r="M60" s="2">
        <f t="shared" si="10"/>
        <v>3</v>
      </c>
      <c r="N60" s="2">
        <f>COUNTIFS(M$4:M$15,M57,$AI$4:$AI$15,"YES")</f>
        <v>1</v>
      </c>
      <c r="O60" s="2">
        <f t="shared" ref="O60:AI60" si="11">COUNTIFS(N$4:N$15,N57,$AI$4:$AI$15,"YES")</f>
        <v>2</v>
      </c>
      <c r="P60" s="2">
        <f t="shared" si="11"/>
        <v>3</v>
      </c>
      <c r="Q60" s="2">
        <f t="shared" si="11"/>
        <v>3</v>
      </c>
      <c r="R60" s="2">
        <f t="shared" si="11"/>
        <v>3</v>
      </c>
      <c r="S60" s="2">
        <f t="shared" si="11"/>
        <v>3</v>
      </c>
      <c r="T60" s="2">
        <f t="shared" si="11"/>
        <v>1</v>
      </c>
      <c r="U60" s="2">
        <f t="shared" si="11"/>
        <v>3</v>
      </c>
      <c r="V60" s="2">
        <f t="shared" si="11"/>
        <v>4</v>
      </c>
      <c r="W60" s="2">
        <f t="shared" si="11"/>
        <v>4</v>
      </c>
      <c r="X60" s="2">
        <f t="shared" si="11"/>
        <v>3</v>
      </c>
      <c r="Y60" s="2">
        <f t="shared" si="11"/>
        <v>3</v>
      </c>
      <c r="Z60" s="2">
        <f t="shared" si="11"/>
        <v>3</v>
      </c>
      <c r="AA60" s="2">
        <f t="shared" si="11"/>
        <v>3</v>
      </c>
      <c r="AB60" s="2">
        <f t="shared" si="11"/>
        <v>0</v>
      </c>
      <c r="AC60" s="2">
        <f t="shared" si="11"/>
        <v>3</v>
      </c>
      <c r="AD60" s="2">
        <f t="shared" si="11"/>
        <v>4</v>
      </c>
      <c r="AE60" s="2">
        <f t="shared" si="11"/>
        <v>3</v>
      </c>
      <c r="AF60" s="2">
        <f t="shared" si="11"/>
        <v>4</v>
      </c>
      <c r="AG60" s="2">
        <f t="shared" si="11"/>
        <v>2</v>
      </c>
      <c r="AH60" s="2">
        <f t="shared" si="11"/>
        <v>4</v>
      </c>
      <c r="AI60" s="2">
        <f t="shared" si="11"/>
        <v>3</v>
      </c>
      <c r="AJ60" s="10"/>
    </row>
    <row r="61" spans="1:36" x14ac:dyDescent="0.25">
      <c r="A61" s="41" t="s">
        <v>42</v>
      </c>
      <c r="B61" s="41"/>
      <c r="C61" s="2">
        <f>COUNTIFS(B$4:B$15,B57,$AI$4:$AI$15,"No")</f>
        <v>0</v>
      </c>
      <c r="D61" s="2">
        <f t="shared" ref="D61:AI61" si="12">COUNTIFS(C$4:C$15,C57,$AI$4:$AI$15,"No")</f>
        <v>4</v>
      </c>
      <c r="E61" s="2">
        <f t="shared" si="12"/>
        <v>3</v>
      </c>
      <c r="F61" s="2">
        <f t="shared" si="12"/>
        <v>2</v>
      </c>
      <c r="G61" s="2">
        <f t="shared" si="12"/>
        <v>3</v>
      </c>
      <c r="H61" s="2">
        <f t="shared" si="12"/>
        <v>5</v>
      </c>
      <c r="I61" s="2">
        <f t="shared" si="12"/>
        <v>6</v>
      </c>
      <c r="J61" s="2">
        <f t="shared" si="12"/>
        <v>5</v>
      </c>
      <c r="K61" s="2">
        <f t="shared" si="12"/>
        <v>3</v>
      </c>
      <c r="L61" s="2">
        <f t="shared" si="12"/>
        <v>5</v>
      </c>
      <c r="M61" s="2">
        <f t="shared" si="12"/>
        <v>6</v>
      </c>
      <c r="N61" s="2">
        <f t="shared" si="12"/>
        <v>1</v>
      </c>
      <c r="O61" s="2">
        <f t="shared" si="12"/>
        <v>5</v>
      </c>
      <c r="P61" s="2">
        <f t="shared" si="12"/>
        <v>6</v>
      </c>
      <c r="Q61" s="2">
        <f t="shared" si="12"/>
        <v>6</v>
      </c>
      <c r="R61" s="2">
        <f t="shared" si="12"/>
        <v>6</v>
      </c>
      <c r="S61" s="2">
        <f t="shared" si="12"/>
        <v>6</v>
      </c>
      <c r="T61" s="2">
        <f t="shared" si="12"/>
        <v>3</v>
      </c>
      <c r="U61" s="2">
        <f t="shared" si="12"/>
        <v>7</v>
      </c>
      <c r="V61" s="2">
        <f t="shared" si="12"/>
        <v>8</v>
      </c>
      <c r="W61" s="2">
        <f t="shared" si="12"/>
        <v>8</v>
      </c>
      <c r="X61" s="2">
        <f t="shared" si="12"/>
        <v>6</v>
      </c>
      <c r="Y61" s="2">
        <f t="shared" si="12"/>
        <v>7</v>
      </c>
      <c r="Z61" s="2">
        <f t="shared" si="12"/>
        <v>7</v>
      </c>
      <c r="AA61" s="2">
        <f t="shared" si="12"/>
        <v>5</v>
      </c>
      <c r="AB61" s="2">
        <f t="shared" si="12"/>
        <v>3</v>
      </c>
      <c r="AC61" s="2">
        <f t="shared" si="12"/>
        <v>7</v>
      </c>
      <c r="AD61" s="2">
        <f t="shared" si="12"/>
        <v>8</v>
      </c>
      <c r="AE61" s="2">
        <f t="shared" si="12"/>
        <v>7</v>
      </c>
      <c r="AF61" s="2">
        <f t="shared" si="12"/>
        <v>8</v>
      </c>
      <c r="AG61" s="2">
        <f t="shared" si="12"/>
        <v>3</v>
      </c>
      <c r="AH61" s="2">
        <f t="shared" si="12"/>
        <v>8</v>
      </c>
      <c r="AI61" s="2">
        <f t="shared" si="12"/>
        <v>3</v>
      </c>
      <c r="AJ61" s="10"/>
    </row>
    <row r="62" spans="1:36" x14ac:dyDescent="0.25">
      <c r="A62" s="41" t="s">
        <v>53</v>
      </c>
      <c r="B62" s="1" t="s">
        <v>55</v>
      </c>
      <c r="C62" s="2">
        <f>C60/$B$28</f>
        <v>0</v>
      </c>
      <c r="D62" s="2">
        <f t="shared" ref="D62:AI62" si="13">D60/$B$28</f>
        <v>6</v>
      </c>
      <c r="E62" s="2">
        <f t="shared" si="13"/>
        <v>6</v>
      </c>
      <c r="F62" s="2">
        <f t="shared" si="13"/>
        <v>6</v>
      </c>
      <c r="G62" s="2">
        <f t="shared" si="13"/>
        <v>0</v>
      </c>
      <c r="H62" s="2">
        <f t="shared" si="13"/>
        <v>9</v>
      </c>
      <c r="I62" s="2">
        <f t="shared" si="13"/>
        <v>9</v>
      </c>
      <c r="J62" s="2">
        <f t="shared" si="13"/>
        <v>9</v>
      </c>
      <c r="K62" s="2">
        <f t="shared" si="13"/>
        <v>0</v>
      </c>
      <c r="L62" s="2">
        <f t="shared" si="13"/>
        <v>6</v>
      </c>
      <c r="M62" s="2">
        <f t="shared" si="13"/>
        <v>9</v>
      </c>
      <c r="N62" s="2">
        <f t="shared" si="13"/>
        <v>3</v>
      </c>
      <c r="O62" s="2">
        <f t="shared" si="13"/>
        <v>6</v>
      </c>
      <c r="P62" s="2">
        <f t="shared" si="13"/>
        <v>9</v>
      </c>
      <c r="Q62" s="2">
        <f t="shared" si="13"/>
        <v>9</v>
      </c>
      <c r="R62" s="2">
        <f t="shared" si="13"/>
        <v>9</v>
      </c>
      <c r="S62" s="2">
        <f t="shared" si="13"/>
        <v>9</v>
      </c>
      <c r="T62" s="2">
        <f t="shared" si="13"/>
        <v>3</v>
      </c>
      <c r="U62" s="2">
        <f t="shared" si="13"/>
        <v>9</v>
      </c>
      <c r="V62" s="2">
        <f t="shared" si="13"/>
        <v>12</v>
      </c>
      <c r="W62" s="2">
        <f t="shared" si="13"/>
        <v>12</v>
      </c>
      <c r="X62" s="2">
        <f t="shared" si="13"/>
        <v>9</v>
      </c>
      <c r="Y62" s="2">
        <f t="shared" si="13"/>
        <v>9</v>
      </c>
      <c r="Z62" s="2">
        <f t="shared" si="13"/>
        <v>9</v>
      </c>
      <c r="AA62" s="2">
        <f t="shared" si="13"/>
        <v>9</v>
      </c>
      <c r="AB62" s="2">
        <f t="shared" si="13"/>
        <v>0</v>
      </c>
      <c r="AC62" s="2">
        <f t="shared" si="13"/>
        <v>9</v>
      </c>
      <c r="AD62" s="2">
        <f t="shared" si="13"/>
        <v>12</v>
      </c>
      <c r="AE62" s="2">
        <f t="shared" si="13"/>
        <v>9</v>
      </c>
      <c r="AF62" s="2">
        <f t="shared" si="13"/>
        <v>12</v>
      </c>
      <c r="AG62" s="2">
        <f t="shared" si="13"/>
        <v>6</v>
      </c>
      <c r="AH62" s="2">
        <f t="shared" si="13"/>
        <v>12</v>
      </c>
      <c r="AI62" s="2">
        <f t="shared" si="13"/>
        <v>9</v>
      </c>
      <c r="AJ62" s="2">
        <f>C62*D62*E62*F62*G62*H62*I62*J62*K62*L62*M62*N62*O62*P62*Q62*R62*S62*T62*U62*V62*W62*X62*Y62*Z62*AA62*AB62*AC62*AD62*AE62*AF62*AG62*AH62*AI62</f>
        <v>0</v>
      </c>
    </row>
    <row r="63" spans="1:36" x14ac:dyDescent="0.25">
      <c r="A63" s="41"/>
      <c r="B63" s="1" t="s">
        <v>42</v>
      </c>
      <c r="C63" s="2">
        <f>C61/$C$28</f>
        <v>0</v>
      </c>
      <c r="D63" s="2">
        <f t="shared" ref="D63:AI63" si="14">D61/$C$28</f>
        <v>6</v>
      </c>
      <c r="E63" s="2">
        <f t="shared" si="14"/>
        <v>4.5</v>
      </c>
      <c r="F63" s="2">
        <f t="shared" si="14"/>
        <v>3</v>
      </c>
      <c r="G63" s="2">
        <f t="shared" si="14"/>
        <v>4.5</v>
      </c>
      <c r="H63" s="2">
        <f t="shared" si="14"/>
        <v>7.5</v>
      </c>
      <c r="I63" s="2">
        <f t="shared" si="14"/>
        <v>9</v>
      </c>
      <c r="J63" s="2">
        <f t="shared" si="14"/>
        <v>7.5</v>
      </c>
      <c r="K63" s="2">
        <f t="shared" si="14"/>
        <v>4.5</v>
      </c>
      <c r="L63" s="2">
        <f t="shared" si="14"/>
        <v>7.5</v>
      </c>
      <c r="M63" s="2">
        <f t="shared" si="14"/>
        <v>9</v>
      </c>
      <c r="N63" s="2">
        <f t="shared" si="14"/>
        <v>1.5</v>
      </c>
      <c r="O63" s="2">
        <f t="shared" si="14"/>
        <v>7.5</v>
      </c>
      <c r="P63" s="2">
        <f t="shared" si="14"/>
        <v>9</v>
      </c>
      <c r="Q63" s="2">
        <f t="shared" si="14"/>
        <v>9</v>
      </c>
      <c r="R63" s="2">
        <f t="shared" si="14"/>
        <v>9</v>
      </c>
      <c r="S63" s="2">
        <f t="shared" si="14"/>
        <v>9</v>
      </c>
      <c r="T63" s="2">
        <f t="shared" si="14"/>
        <v>4.5</v>
      </c>
      <c r="U63" s="2">
        <f t="shared" si="14"/>
        <v>10.5</v>
      </c>
      <c r="V63" s="2">
        <f t="shared" si="14"/>
        <v>12</v>
      </c>
      <c r="W63" s="2">
        <f t="shared" si="14"/>
        <v>12</v>
      </c>
      <c r="X63" s="2">
        <f t="shared" si="14"/>
        <v>9</v>
      </c>
      <c r="Y63" s="2">
        <f t="shared" si="14"/>
        <v>10.5</v>
      </c>
      <c r="Z63" s="2">
        <f t="shared" si="14"/>
        <v>10.5</v>
      </c>
      <c r="AA63" s="2">
        <f t="shared" si="14"/>
        <v>7.5</v>
      </c>
      <c r="AB63" s="2">
        <f t="shared" si="14"/>
        <v>4.5</v>
      </c>
      <c r="AC63" s="2">
        <f t="shared" si="14"/>
        <v>10.5</v>
      </c>
      <c r="AD63" s="2">
        <f t="shared" si="14"/>
        <v>12</v>
      </c>
      <c r="AE63" s="2">
        <f t="shared" si="14"/>
        <v>10.5</v>
      </c>
      <c r="AF63" s="2">
        <f t="shared" si="14"/>
        <v>12</v>
      </c>
      <c r="AG63" s="2">
        <f t="shared" si="14"/>
        <v>4.5</v>
      </c>
      <c r="AH63" s="2">
        <f t="shared" si="14"/>
        <v>12</v>
      </c>
      <c r="AI63" s="2">
        <f t="shared" si="14"/>
        <v>4.5</v>
      </c>
      <c r="AJ63" s="2">
        <f>C63*D63*E63*F63*G63*H63*I63*J63*K63*L63*M63*N63*O63*P63*Q63*R63*S63*T63*U63*V63*W63*X63*Y63*Z63*AA63*AB63*AC63*AD63*AE63*AF63*AG63*AH63*AI63</f>
        <v>0</v>
      </c>
    </row>
    <row r="64" spans="1:36" x14ac:dyDescent="0.25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10"/>
    </row>
    <row r="65" spans="1:36" x14ac:dyDescent="0.25">
      <c r="A65" s="42" t="s">
        <v>56</v>
      </c>
      <c r="B65" s="43"/>
      <c r="C65" s="11" t="s">
        <v>57</v>
      </c>
      <c r="D65" s="10"/>
      <c r="E65" s="10"/>
      <c r="F65" s="10"/>
      <c r="G65" s="10"/>
      <c r="H65" s="10"/>
      <c r="I65" s="10"/>
      <c r="J65" s="10"/>
      <c r="K65" s="10"/>
      <c r="L65" s="10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10"/>
    </row>
    <row r="66" spans="1:36" x14ac:dyDescent="0.25">
      <c r="A66" s="12" t="s">
        <v>55</v>
      </c>
      <c r="B66" s="13">
        <f>AJ62*$B$28</f>
        <v>0</v>
      </c>
      <c r="C66" s="44" t="str">
        <f>IF(B66&gt;B67,A66, A67)</f>
        <v>No</v>
      </c>
      <c r="D66" s="10"/>
      <c r="E66" s="10"/>
      <c r="F66" s="10"/>
      <c r="G66" s="10"/>
      <c r="H66" s="10"/>
      <c r="I66" s="10"/>
      <c r="J66" s="10"/>
      <c r="K66" s="10"/>
      <c r="L66" s="10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10"/>
    </row>
    <row r="67" spans="1:36" x14ac:dyDescent="0.25">
      <c r="A67" s="12" t="s">
        <v>42</v>
      </c>
      <c r="B67" s="13">
        <f>AJ63*$C$28</f>
        <v>0</v>
      </c>
      <c r="C67" s="45"/>
      <c r="D67" s="10"/>
      <c r="E67" s="10"/>
      <c r="F67" s="10"/>
      <c r="G67" s="10"/>
      <c r="H67" s="10"/>
      <c r="I67" s="10"/>
      <c r="J67" s="10"/>
      <c r="K67" s="10"/>
      <c r="L67" s="10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10"/>
    </row>
    <row r="69" spans="1:36" x14ac:dyDescent="0.25">
      <c r="A69" s="36"/>
      <c r="B69" s="37" t="s">
        <v>0</v>
      </c>
      <c r="C69" s="37" t="s">
        <v>1</v>
      </c>
      <c r="D69" s="37" t="s">
        <v>2</v>
      </c>
      <c r="E69" s="37" t="s">
        <v>3</v>
      </c>
      <c r="F69" s="37" t="s">
        <v>4</v>
      </c>
      <c r="G69" s="37" t="s">
        <v>5</v>
      </c>
      <c r="H69" s="37" t="s">
        <v>6</v>
      </c>
      <c r="I69" s="37" t="s">
        <v>7</v>
      </c>
      <c r="J69" s="37" t="s">
        <v>8</v>
      </c>
      <c r="K69" s="37" t="s">
        <v>9</v>
      </c>
      <c r="L69" s="37" t="s">
        <v>10</v>
      </c>
      <c r="M69" s="37" t="s">
        <v>11</v>
      </c>
      <c r="N69" s="37" t="s">
        <v>12</v>
      </c>
      <c r="O69" s="37" t="s">
        <v>13</v>
      </c>
      <c r="P69" s="37" t="s">
        <v>14</v>
      </c>
      <c r="Q69" s="37" t="s">
        <v>15</v>
      </c>
      <c r="R69" s="37" t="s">
        <v>16</v>
      </c>
      <c r="S69" s="37" t="s">
        <v>17</v>
      </c>
      <c r="T69" s="37" t="s">
        <v>18</v>
      </c>
      <c r="U69" s="37" t="s">
        <v>19</v>
      </c>
      <c r="V69" s="37" t="s">
        <v>20</v>
      </c>
      <c r="W69" s="37" t="s">
        <v>21</v>
      </c>
      <c r="X69" s="37" t="s">
        <v>22</v>
      </c>
      <c r="Y69" s="37" t="s">
        <v>23</v>
      </c>
      <c r="Z69" s="37" t="s">
        <v>24</v>
      </c>
      <c r="AA69" s="37" t="s">
        <v>25</v>
      </c>
      <c r="AB69" s="37" t="s">
        <v>26</v>
      </c>
      <c r="AC69" s="37" t="s">
        <v>27</v>
      </c>
      <c r="AD69" s="37" t="s">
        <v>28</v>
      </c>
      <c r="AE69" s="37" t="s">
        <v>29</v>
      </c>
      <c r="AF69" s="37" t="s">
        <v>30</v>
      </c>
      <c r="AG69" s="37" t="s">
        <v>31</v>
      </c>
      <c r="AH69" s="37" t="s">
        <v>32</v>
      </c>
      <c r="AI69" s="37"/>
    </row>
    <row r="70" spans="1:36" x14ac:dyDescent="0.25">
      <c r="A70" s="26" t="s">
        <v>123</v>
      </c>
      <c r="B70" s="26">
        <v>0</v>
      </c>
      <c r="C70" s="26">
        <v>0.1</v>
      </c>
      <c r="D70" s="26">
        <v>0.2</v>
      </c>
      <c r="E70" s="26">
        <v>0.5</v>
      </c>
      <c r="F70" s="26">
        <v>0.1</v>
      </c>
      <c r="G70" s="26">
        <v>0.9</v>
      </c>
      <c r="H70" s="26">
        <v>0.55416666666666603</v>
      </c>
      <c r="I70" s="26">
        <v>0.848101265822784</v>
      </c>
      <c r="J70" s="26">
        <v>0.42278481012658198</v>
      </c>
      <c r="K70" s="26">
        <v>0.13055555555555501</v>
      </c>
      <c r="L70" s="26">
        <v>0.05</v>
      </c>
      <c r="M70" s="26">
        <v>0.26216216216216198</v>
      </c>
      <c r="N70" s="26">
        <v>0.515625</v>
      </c>
      <c r="O70" s="26">
        <v>7.4999999999999997E-2</v>
      </c>
      <c r="P70" s="26">
        <v>5.0632911392405E-2</v>
      </c>
      <c r="Q70" s="26">
        <v>9.9999999999999895E-2</v>
      </c>
      <c r="R70" s="26">
        <v>0.938271604938271</v>
      </c>
      <c r="S70" s="26">
        <v>0.38271604938271597</v>
      </c>
      <c r="T70" s="26">
        <v>0.96296296296296302</v>
      </c>
      <c r="U70" s="26">
        <v>1</v>
      </c>
      <c r="V70" s="26">
        <v>1</v>
      </c>
      <c r="W70" s="26">
        <v>0.12345679012345601</v>
      </c>
      <c r="X70" s="26">
        <v>0.96296296296296302</v>
      </c>
      <c r="Y70" s="26">
        <v>0.95061728395061695</v>
      </c>
      <c r="Z70" s="26">
        <v>0.75308641975308599</v>
      </c>
      <c r="AA70" s="26">
        <v>0.35802469135802401</v>
      </c>
      <c r="AB70" s="26">
        <v>0.98765432098765404</v>
      </c>
      <c r="AC70" s="26">
        <v>1</v>
      </c>
      <c r="AD70" s="26">
        <v>0.97530864197530798</v>
      </c>
      <c r="AE70" s="26">
        <v>1</v>
      </c>
      <c r="AF70" s="26">
        <v>0.46249999999999902</v>
      </c>
      <c r="AG70" s="26">
        <v>1</v>
      </c>
      <c r="AH70" s="26">
        <v>0.89610389610389596</v>
      </c>
      <c r="AI70" s="26" t="s">
        <v>37</v>
      </c>
    </row>
    <row r="72" spans="1:36" x14ac:dyDescent="0.25">
      <c r="A72" s="41" t="s">
        <v>54</v>
      </c>
      <c r="B72" s="41"/>
      <c r="C72" s="1" t="s">
        <v>0</v>
      </c>
      <c r="D72" s="1" t="s">
        <v>1</v>
      </c>
      <c r="E72" s="1" t="s">
        <v>2</v>
      </c>
      <c r="F72" s="1" t="s">
        <v>3</v>
      </c>
      <c r="G72" s="1" t="s">
        <v>4</v>
      </c>
      <c r="H72" s="1" t="s">
        <v>5</v>
      </c>
      <c r="I72" s="1" t="s">
        <v>6</v>
      </c>
      <c r="J72" s="1" t="s">
        <v>7</v>
      </c>
      <c r="K72" s="1" t="s">
        <v>8</v>
      </c>
      <c r="L72" s="1" t="s">
        <v>9</v>
      </c>
      <c r="M72" s="1" t="s">
        <v>10</v>
      </c>
      <c r="N72" s="1" t="s">
        <v>11</v>
      </c>
      <c r="O72" s="1" t="s">
        <v>12</v>
      </c>
      <c r="P72" s="1" t="s">
        <v>13</v>
      </c>
      <c r="Q72" s="1" t="s">
        <v>14</v>
      </c>
      <c r="R72" s="1" t="s">
        <v>15</v>
      </c>
      <c r="S72" s="1" t="s">
        <v>16</v>
      </c>
      <c r="T72" s="1" t="s">
        <v>17</v>
      </c>
      <c r="U72" s="1" t="s">
        <v>18</v>
      </c>
      <c r="V72" s="1" t="s">
        <v>19</v>
      </c>
      <c r="W72" s="1" t="s">
        <v>20</v>
      </c>
      <c r="X72" s="1" t="s">
        <v>21</v>
      </c>
      <c r="Y72" s="1" t="s">
        <v>22</v>
      </c>
      <c r="Z72" s="1" t="s">
        <v>23</v>
      </c>
      <c r="AA72" s="1" t="s">
        <v>24</v>
      </c>
      <c r="AB72" s="1" t="s">
        <v>25</v>
      </c>
      <c r="AC72" s="1" t="s">
        <v>26</v>
      </c>
      <c r="AD72" s="1" t="s">
        <v>27</v>
      </c>
      <c r="AE72" s="1" t="s">
        <v>28</v>
      </c>
      <c r="AF72" s="1" t="s">
        <v>29</v>
      </c>
      <c r="AG72" s="1" t="s">
        <v>30</v>
      </c>
      <c r="AH72" s="1" t="s">
        <v>31</v>
      </c>
      <c r="AI72" s="1" t="s">
        <v>32</v>
      </c>
    </row>
    <row r="73" spans="1:36" x14ac:dyDescent="0.25">
      <c r="A73" s="41" t="s">
        <v>55</v>
      </c>
      <c r="B73" s="41"/>
      <c r="C73" s="2">
        <f t="shared" ref="C73:M73" si="15">COUNTIFS(B$4:B$15,B70,$AI$4:$AI$15,"YES")</f>
        <v>0</v>
      </c>
      <c r="D73" s="2">
        <f t="shared" si="15"/>
        <v>1</v>
      </c>
      <c r="E73" s="2">
        <f t="shared" si="15"/>
        <v>1</v>
      </c>
      <c r="F73" s="2">
        <f t="shared" si="15"/>
        <v>1</v>
      </c>
      <c r="G73" s="2">
        <f t="shared" si="15"/>
        <v>1</v>
      </c>
      <c r="H73" s="2">
        <f t="shared" si="15"/>
        <v>1</v>
      </c>
      <c r="I73" s="2">
        <f t="shared" si="15"/>
        <v>1</v>
      </c>
      <c r="J73" s="2">
        <f t="shared" si="15"/>
        <v>1</v>
      </c>
      <c r="K73" s="2">
        <f t="shared" si="15"/>
        <v>1</v>
      </c>
      <c r="L73" s="2">
        <f t="shared" si="15"/>
        <v>1</v>
      </c>
      <c r="M73" s="2">
        <f t="shared" si="15"/>
        <v>1</v>
      </c>
      <c r="N73" s="2">
        <f>COUNTIFS(M$4:M$15,M70,$AI$4:$AI$15,"YES")</f>
        <v>1</v>
      </c>
      <c r="O73" s="2">
        <f t="shared" ref="O73:AI73" si="16">COUNTIFS(N$4:N$15,N70,$AI$4:$AI$15,"YES")</f>
        <v>1</v>
      </c>
      <c r="P73" s="2">
        <f t="shared" si="16"/>
        <v>1</v>
      </c>
      <c r="Q73" s="2">
        <f t="shared" si="16"/>
        <v>1</v>
      </c>
      <c r="R73" s="2">
        <f t="shared" si="16"/>
        <v>1</v>
      </c>
      <c r="S73" s="2">
        <f t="shared" si="16"/>
        <v>1</v>
      </c>
      <c r="T73" s="2">
        <f t="shared" si="16"/>
        <v>1</v>
      </c>
      <c r="U73" s="2">
        <f t="shared" si="16"/>
        <v>1</v>
      </c>
      <c r="V73" s="2">
        <f t="shared" si="16"/>
        <v>4</v>
      </c>
      <c r="W73" s="2">
        <f t="shared" si="16"/>
        <v>4</v>
      </c>
      <c r="X73" s="2">
        <f t="shared" si="16"/>
        <v>1</v>
      </c>
      <c r="Y73" s="2">
        <f t="shared" si="16"/>
        <v>1</v>
      </c>
      <c r="Z73" s="2">
        <f t="shared" si="16"/>
        <v>1</v>
      </c>
      <c r="AA73" s="2">
        <f t="shared" si="16"/>
        <v>1</v>
      </c>
      <c r="AB73" s="2">
        <f t="shared" si="16"/>
        <v>1</v>
      </c>
      <c r="AC73" s="2">
        <f t="shared" si="16"/>
        <v>1</v>
      </c>
      <c r="AD73" s="2">
        <f t="shared" si="16"/>
        <v>4</v>
      </c>
      <c r="AE73" s="2">
        <f t="shared" si="16"/>
        <v>1</v>
      </c>
      <c r="AF73" s="2">
        <f t="shared" si="16"/>
        <v>4</v>
      </c>
      <c r="AG73" s="2">
        <f t="shared" si="16"/>
        <v>1</v>
      </c>
      <c r="AH73" s="2">
        <f t="shared" si="16"/>
        <v>4</v>
      </c>
      <c r="AI73" s="2">
        <f t="shared" si="16"/>
        <v>1</v>
      </c>
      <c r="AJ73" s="10"/>
    </row>
    <row r="74" spans="1:36" x14ac:dyDescent="0.25">
      <c r="A74" s="41" t="s">
        <v>42</v>
      </c>
      <c r="B74" s="41"/>
      <c r="C74" s="2">
        <f>COUNTIFS(B$4:B$15,B70,$AI$4:$AI$15,"No")</f>
        <v>0</v>
      </c>
      <c r="D74" s="2">
        <f t="shared" ref="D74:AI74" si="17">COUNTIFS(C$4:C$15,C70,$AI$4:$AI$15,"No")</f>
        <v>1</v>
      </c>
      <c r="E74" s="2">
        <f t="shared" si="17"/>
        <v>2</v>
      </c>
      <c r="F74" s="2">
        <f t="shared" si="17"/>
        <v>1</v>
      </c>
      <c r="G74" s="2">
        <f t="shared" si="17"/>
        <v>1</v>
      </c>
      <c r="H74" s="2">
        <f t="shared" si="17"/>
        <v>2</v>
      </c>
      <c r="I74" s="2">
        <f t="shared" si="17"/>
        <v>1</v>
      </c>
      <c r="J74" s="2">
        <f t="shared" si="17"/>
        <v>2</v>
      </c>
      <c r="K74" s="2">
        <f t="shared" si="17"/>
        <v>1</v>
      </c>
      <c r="L74" s="2">
        <f t="shared" si="17"/>
        <v>1</v>
      </c>
      <c r="M74" s="2">
        <f t="shared" si="17"/>
        <v>1</v>
      </c>
      <c r="N74" s="2">
        <f t="shared" si="17"/>
        <v>2</v>
      </c>
      <c r="O74" s="2">
        <f t="shared" si="17"/>
        <v>1</v>
      </c>
      <c r="P74" s="2">
        <f t="shared" si="17"/>
        <v>1</v>
      </c>
      <c r="Q74" s="2">
        <f t="shared" si="17"/>
        <v>2</v>
      </c>
      <c r="R74" s="2">
        <f t="shared" si="17"/>
        <v>1</v>
      </c>
      <c r="S74" s="2">
        <f t="shared" si="17"/>
        <v>1</v>
      </c>
      <c r="T74" s="2">
        <f t="shared" si="17"/>
        <v>1</v>
      </c>
      <c r="U74" s="2">
        <f t="shared" si="17"/>
        <v>1</v>
      </c>
      <c r="V74" s="2">
        <f t="shared" si="17"/>
        <v>8</v>
      </c>
      <c r="W74" s="2">
        <f t="shared" si="17"/>
        <v>8</v>
      </c>
      <c r="X74" s="2">
        <f t="shared" si="17"/>
        <v>1</v>
      </c>
      <c r="Y74" s="2">
        <f t="shared" si="17"/>
        <v>1</v>
      </c>
      <c r="Z74" s="2">
        <f t="shared" si="17"/>
        <v>1</v>
      </c>
      <c r="AA74" s="2">
        <f t="shared" si="17"/>
        <v>1</v>
      </c>
      <c r="AB74" s="2">
        <f t="shared" si="17"/>
        <v>1</v>
      </c>
      <c r="AC74" s="2">
        <f t="shared" si="17"/>
        <v>1</v>
      </c>
      <c r="AD74" s="2">
        <f t="shared" si="17"/>
        <v>8</v>
      </c>
      <c r="AE74" s="2">
        <f t="shared" si="17"/>
        <v>1</v>
      </c>
      <c r="AF74" s="2">
        <f t="shared" si="17"/>
        <v>8</v>
      </c>
      <c r="AG74" s="2">
        <f t="shared" si="17"/>
        <v>1</v>
      </c>
      <c r="AH74" s="2">
        <f t="shared" si="17"/>
        <v>8</v>
      </c>
      <c r="AI74" s="2">
        <f t="shared" si="17"/>
        <v>1</v>
      </c>
      <c r="AJ74" s="10"/>
    </row>
    <row r="75" spans="1:36" x14ac:dyDescent="0.25">
      <c r="A75" s="41" t="s">
        <v>53</v>
      </c>
      <c r="B75" s="1" t="s">
        <v>55</v>
      </c>
      <c r="C75" s="2">
        <f>C73/$B$28</f>
        <v>0</v>
      </c>
      <c r="D75" s="2">
        <f t="shared" ref="D75:AI75" si="18">D73/$B$28</f>
        <v>3</v>
      </c>
      <c r="E75" s="2">
        <f t="shared" si="18"/>
        <v>3</v>
      </c>
      <c r="F75" s="2">
        <f t="shared" si="18"/>
        <v>3</v>
      </c>
      <c r="G75" s="2">
        <f t="shared" si="18"/>
        <v>3</v>
      </c>
      <c r="H75" s="2">
        <f t="shared" si="18"/>
        <v>3</v>
      </c>
      <c r="I75" s="2">
        <f t="shared" si="18"/>
        <v>3</v>
      </c>
      <c r="J75" s="2">
        <f t="shared" si="18"/>
        <v>3</v>
      </c>
      <c r="K75" s="2">
        <f t="shared" si="18"/>
        <v>3</v>
      </c>
      <c r="L75" s="2">
        <f t="shared" si="18"/>
        <v>3</v>
      </c>
      <c r="M75" s="2">
        <f t="shared" si="18"/>
        <v>3</v>
      </c>
      <c r="N75" s="2">
        <f t="shared" si="18"/>
        <v>3</v>
      </c>
      <c r="O75" s="2">
        <f t="shared" si="18"/>
        <v>3</v>
      </c>
      <c r="P75" s="2">
        <f t="shared" si="18"/>
        <v>3</v>
      </c>
      <c r="Q75" s="2">
        <f t="shared" si="18"/>
        <v>3</v>
      </c>
      <c r="R75" s="2">
        <f t="shared" si="18"/>
        <v>3</v>
      </c>
      <c r="S75" s="2">
        <f t="shared" si="18"/>
        <v>3</v>
      </c>
      <c r="T75" s="2">
        <f t="shared" si="18"/>
        <v>3</v>
      </c>
      <c r="U75" s="2">
        <f t="shared" si="18"/>
        <v>3</v>
      </c>
      <c r="V75" s="2">
        <f t="shared" si="18"/>
        <v>12</v>
      </c>
      <c r="W75" s="2">
        <f t="shared" si="18"/>
        <v>12</v>
      </c>
      <c r="X75" s="2">
        <f t="shared" si="18"/>
        <v>3</v>
      </c>
      <c r="Y75" s="2">
        <f t="shared" si="18"/>
        <v>3</v>
      </c>
      <c r="Z75" s="2">
        <f t="shared" si="18"/>
        <v>3</v>
      </c>
      <c r="AA75" s="2">
        <f t="shared" si="18"/>
        <v>3</v>
      </c>
      <c r="AB75" s="2">
        <f t="shared" si="18"/>
        <v>3</v>
      </c>
      <c r="AC75" s="2">
        <f t="shared" si="18"/>
        <v>3</v>
      </c>
      <c r="AD75" s="2">
        <f t="shared" si="18"/>
        <v>12</v>
      </c>
      <c r="AE75" s="2">
        <f t="shared" si="18"/>
        <v>3</v>
      </c>
      <c r="AF75" s="2">
        <f t="shared" si="18"/>
        <v>12</v>
      </c>
      <c r="AG75" s="2">
        <f t="shared" si="18"/>
        <v>3</v>
      </c>
      <c r="AH75" s="2">
        <f t="shared" si="18"/>
        <v>12</v>
      </c>
      <c r="AI75" s="2">
        <f t="shared" si="18"/>
        <v>3</v>
      </c>
      <c r="AJ75" s="2">
        <f>C75*D75*E75*F75*G75*H75*I75*J75*K75*L75*M75*N75*O75*P75*Q75*R75*S75*T75*U75*V75*W75*X75*Y75*Z75*AA75*AB75*AC75*AD75*AE75*AF75*AG75*AH75*AI75</f>
        <v>0</v>
      </c>
    </row>
    <row r="76" spans="1:36" x14ac:dyDescent="0.25">
      <c r="A76" s="41"/>
      <c r="B76" s="1" t="s">
        <v>42</v>
      </c>
      <c r="C76" s="2">
        <f>C74/$C$28</f>
        <v>0</v>
      </c>
      <c r="D76" s="2">
        <f t="shared" ref="D76:AI76" si="19">D74/$C$28</f>
        <v>1.5</v>
      </c>
      <c r="E76" s="2">
        <f t="shared" si="19"/>
        <v>3</v>
      </c>
      <c r="F76" s="2">
        <f t="shared" si="19"/>
        <v>1.5</v>
      </c>
      <c r="G76" s="2">
        <f t="shared" si="19"/>
        <v>1.5</v>
      </c>
      <c r="H76" s="2">
        <f t="shared" si="19"/>
        <v>3</v>
      </c>
      <c r="I76" s="2">
        <f t="shared" si="19"/>
        <v>1.5</v>
      </c>
      <c r="J76" s="2">
        <f t="shared" si="19"/>
        <v>3</v>
      </c>
      <c r="K76" s="2">
        <f t="shared" si="19"/>
        <v>1.5</v>
      </c>
      <c r="L76" s="2">
        <f t="shared" si="19"/>
        <v>1.5</v>
      </c>
      <c r="M76" s="2">
        <f t="shared" si="19"/>
        <v>1.5</v>
      </c>
      <c r="N76" s="2">
        <f t="shared" si="19"/>
        <v>3</v>
      </c>
      <c r="O76" s="2">
        <f t="shared" si="19"/>
        <v>1.5</v>
      </c>
      <c r="P76" s="2">
        <f t="shared" si="19"/>
        <v>1.5</v>
      </c>
      <c r="Q76" s="2">
        <f t="shared" si="19"/>
        <v>3</v>
      </c>
      <c r="R76" s="2">
        <f t="shared" si="19"/>
        <v>1.5</v>
      </c>
      <c r="S76" s="2">
        <f t="shared" si="19"/>
        <v>1.5</v>
      </c>
      <c r="T76" s="2">
        <f t="shared" si="19"/>
        <v>1.5</v>
      </c>
      <c r="U76" s="2">
        <f t="shared" si="19"/>
        <v>1.5</v>
      </c>
      <c r="V76" s="2">
        <f t="shared" si="19"/>
        <v>12</v>
      </c>
      <c r="W76" s="2">
        <f t="shared" si="19"/>
        <v>12</v>
      </c>
      <c r="X76" s="2">
        <f t="shared" si="19"/>
        <v>1.5</v>
      </c>
      <c r="Y76" s="2">
        <f t="shared" si="19"/>
        <v>1.5</v>
      </c>
      <c r="Z76" s="2">
        <f t="shared" si="19"/>
        <v>1.5</v>
      </c>
      <c r="AA76" s="2">
        <f t="shared" si="19"/>
        <v>1.5</v>
      </c>
      <c r="AB76" s="2">
        <f t="shared" si="19"/>
        <v>1.5</v>
      </c>
      <c r="AC76" s="2">
        <f t="shared" si="19"/>
        <v>1.5</v>
      </c>
      <c r="AD76" s="2">
        <f t="shared" si="19"/>
        <v>12</v>
      </c>
      <c r="AE76" s="2">
        <f t="shared" si="19"/>
        <v>1.5</v>
      </c>
      <c r="AF76" s="2">
        <f t="shared" si="19"/>
        <v>12</v>
      </c>
      <c r="AG76" s="2">
        <f t="shared" si="19"/>
        <v>1.5</v>
      </c>
      <c r="AH76" s="2">
        <f t="shared" si="19"/>
        <v>12</v>
      </c>
      <c r="AI76" s="2">
        <f t="shared" si="19"/>
        <v>1.5</v>
      </c>
      <c r="AJ76" s="2">
        <f>C76*D76*E76*F76*G76*H76*I76*J76*K76*L76*M76*N76*O76*P76*Q76*R76*S76*T76*U76*V76*W76*X76*Y76*Z76*AA76*AB76*AC76*AD76*AE76*AF76*AG76*AH76*AI76</f>
        <v>0</v>
      </c>
    </row>
    <row r="77" spans="1:36" x14ac:dyDescent="0.25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10"/>
    </row>
    <row r="78" spans="1:36" x14ac:dyDescent="0.25">
      <c r="A78" s="42" t="s">
        <v>56</v>
      </c>
      <c r="B78" s="43"/>
      <c r="C78" s="11" t="s">
        <v>57</v>
      </c>
      <c r="D78" s="10"/>
      <c r="E78" s="10"/>
      <c r="F78" s="10"/>
      <c r="G78" s="10"/>
      <c r="H78" s="10"/>
      <c r="I78" s="10"/>
      <c r="J78" s="10"/>
      <c r="K78" s="10"/>
      <c r="L78" s="1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10"/>
    </row>
    <row r="79" spans="1:36" x14ac:dyDescent="0.25">
      <c r="A79" s="12" t="s">
        <v>55</v>
      </c>
      <c r="B79" s="13">
        <f>AJ75*$B$28</f>
        <v>0</v>
      </c>
      <c r="C79" s="44" t="str">
        <f>IF(B79&gt;B80,A79, A80)</f>
        <v>No</v>
      </c>
      <c r="D79" s="10"/>
      <c r="E79" s="10"/>
      <c r="F79" s="10"/>
      <c r="G79" s="10"/>
      <c r="H79" s="10"/>
      <c r="I79" s="10"/>
      <c r="J79" s="10"/>
      <c r="K79" s="10"/>
      <c r="L79" s="1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10"/>
    </row>
    <row r="80" spans="1:36" x14ac:dyDescent="0.25">
      <c r="A80" s="12" t="s">
        <v>42</v>
      </c>
      <c r="B80" s="13">
        <f>AJ76*$C$28</f>
        <v>0</v>
      </c>
      <c r="C80" s="45"/>
      <c r="D80" s="10"/>
      <c r="E80" s="10"/>
      <c r="F80" s="10"/>
      <c r="G80" s="10"/>
      <c r="H80" s="10"/>
      <c r="I80" s="10"/>
      <c r="J80" s="10"/>
      <c r="K80" s="10"/>
      <c r="L80" s="1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10"/>
    </row>
    <row r="82" spans="1:36" x14ac:dyDescent="0.25">
      <c r="A82" s="36"/>
      <c r="B82" s="37" t="s">
        <v>0</v>
      </c>
      <c r="C82" s="37" t="s">
        <v>1</v>
      </c>
      <c r="D82" s="37" t="s">
        <v>2</v>
      </c>
      <c r="E82" s="37" t="s">
        <v>3</v>
      </c>
      <c r="F82" s="37" t="s">
        <v>4</v>
      </c>
      <c r="G82" s="37" t="s">
        <v>5</v>
      </c>
      <c r="H82" s="37" t="s">
        <v>6</v>
      </c>
      <c r="I82" s="37" t="s">
        <v>7</v>
      </c>
      <c r="J82" s="37" t="s">
        <v>8</v>
      </c>
      <c r="K82" s="37" t="s">
        <v>9</v>
      </c>
      <c r="L82" s="37" t="s">
        <v>10</v>
      </c>
      <c r="M82" s="37" t="s">
        <v>11</v>
      </c>
      <c r="N82" s="37" t="s">
        <v>12</v>
      </c>
      <c r="O82" s="37" t="s">
        <v>13</v>
      </c>
      <c r="P82" s="37" t="s">
        <v>14</v>
      </c>
      <c r="Q82" s="37" t="s">
        <v>15</v>
      </c>
      <c r="R82" s="37" t="s">
        <v>16</v>
      </c>
      <c r="S82" s="37" t="s">
        <v>17</v>
      </c>
      <c r="T82" s="37" t="s">
        <v>18</v>
      </c>
      <c r="U82" s="37" t="s">
        <v>19</v>
      </c>
      <c r="V82" s="37" t="s">
        <v>20</v>
      </c>
      <c r="W82" s="37" t="s">
        <v>21</v>
      </c>
      <c r="X82" s="37" t="s">
        <v>22</v>
      </c>
      <c r="Y82" s="37" t="s">
        <v>23</v>
      </c>
      <c r="Z82" s="37" t="s">
        <v>24</v>
      </c>
      <c r="AA82" s="37" t="s">
        <v>25</v>
      </c>
      <c r="AB82" s="37" t="s">
        <v>26</v>
      </c>
      <c r="AC82" s="37" t="s">
        <v>27</v>
      </c>
      <c r="AD82" s="37" t="s">
        <v>28</v>
      </c>
      <c r="AE82" s="37" t="s">
        <v>29</v>
      </c>
      <c r="AF82" s="37" t="s">
        <v>30</v>
      </c>
      <c r="AG82" s="37" t="s">
        <v>31</v>
      </c>
      <c r="AH82" s="37" t="s">
        <v>32</v>
      </c>
      <c r="AI82" s="37"/>
    </row>
    <row r="83" spans="1:36" x14ac:dyDescent="0.25">
      <c r="A83" s="26" t="s">
        <v>124</v>
      </c>
      <c r="B83" s="26">
        <v>0</v>
      </c>
      <c r="C83" s="26">
        <v>0.1</v>
      </c>
      <c r="D83" s="26">
        <v>0.2</v>
      </c>
      <c r="E83" s="26">
        <v>0.5</v>
      </c>
      <c r="F83" s="26">
        <v>0.1</v>
      </c>
      <c r="G83" s="26">
        <v>0.9</v>
      </c>
      <c r="H83" s="26">
        <v>0.55416666666666603</v>
      </c>
      <c r="I83" s="26">
        <v>0.848101265822784</v>
      </c>
      <c r="J83" s="26">
        <v>0.42278481012658198</v>
      </c>
      <c r="K83" s="26">
        <v>0.13055555555555501</v>
      </c>
      <c r="L83" s="26">
        <v>0.05</v>
      </c>
      <c r="M83" s="26">
        <v>0.26216216216216198</v>
      </c>
      <c r="N83" s="26">
        <v>0.515625</v>
      </c>
      <c r="O83" s="26">
        <v>7.4999999999999997E-2</v>
      </c>
      <c r="P83" s="26">
        <v>5.0632911392405E-2</v>
      </c>
      <c r="Q83" s="26">
        <v>9.9999999999999895E-2</v>
      </c>
      <c r="R83" s="26">
        <v>0.938271604938271</v>
      </c>
      <c r="S83" s="26">
        <v>0.38271604938271597</v>
      </c>
      <c r="T83" s="26">
        <v>0.96296296296296302</v>
      </c>
      <c r="U83" s="26">
        <v>1</v>
      </c>
      <c r="V83" s="26">
        <v>1</v>
      </c>
      <c r="W83" s="26">
        <v>0.12345679012345601</v>
      </c>
      <c r="X83" s="26">
        <v>0.96296296296296302</v>
      </c>
      <c r="Y83" s="26">
        <v>0.95061728395061695</v>
      </c>
      <c r="Z83" s="26">
        <v>0.75308641975308599</v>
      </c>
      <c r="AA83" s="26">
        <v>0.35802469135802401</v>
      </c>
      <c r="AB83" s="26">
        <v>0.98765432098765404</v>
      </c>
      <c r="AC83" s="26">
        <v>1</v>
      </c>
      <c r="AD83" s="26">
        <v>0.97530864197530798</v>
      </c>
      <c r="AE83" s="26">
        <v>1</v>
      </c>
      <c r="AF83" s="26">
        <v>0.46249999999999902</v>
      </c>
      <c r="AG83" s="26">
        <v>1</v>
      </c>
      <c r="AH83" s="26">
        <v>0.89610389610389596</v>
      </c>
      <c r="AI83" s="26" t="s">
        <v>37</v>
      </c>
    </row>
    <row r="85" spans="1:36" x14ac:dyDescent="0.25">
      <c r="A85" s="41" t="s">
        <v>54</v>
      </c>
      <c r="B85" s="41"/>
      <c r="C85" s="1" t="s">
        <v>0</v>
      </c>
      <c r="D85" s="1" t="s">
        <v>1</v>
      </c>
      <c r="E85" s="1" t="s">
        <v>2</v>
      </c>
      <c r="F85" s="1" t="s">
        <v>3</v>
      </c>
      <c r="G85" s="1" t="s">
        <v>4</v>
      </c>
      <c r="H85" s="1" t="s">
        <v>5</v>
      </c>
      <c r="I85" s="1" t="s">
        <v>6</v>
      </c>
      <c r="J85" s="1" t="s">
        <v>7</v>
      </c>
      <c r="K85" s="1" t="s">
        <v>8</v>
      </c>
      <c r="L85" s="1" t="s">
        <v>9</v>
      </c>
      <c r="M85" s="1" t="s">
        <v>10</v>
      </c>
      <c r="N85" s="1" t="s">
        <v>11</v>
      </c>
      <c r="O85" s="1" t="s">
        <v>12</v>
      </c>
      <c r="P85" s="1" t="s">
        <v>13</v>
      </c>
      <c r="Q85" s="1" t="s">
        <v>14</v>
      </c>
      <c r="R85" s="1" t="s">
        <v>15</v>
      </c>
      <c r="S85" s="1" t="s">
        <v>16</v>
      </c>
      <c r="T85" s="1" t="s">
        <v>17</v>
      </c>
      <c r="U85" s="1" t="s">
        <v>18</v>
      </c>
      <c r="V85" s="1" t="s">
        <v>19</v>
      </c>
      <c r="W85" s="1" t="s">
        <v>20</v>
      </c>
      <c r="X85" s="1" t="s">
        <v>21</v>
      </c>
      <c r="Y85" s="1" t="s">
        <v>22</v>
      </c>
      <c r="Z85" s="1" t="s">
        <v>23</v>
      </c>
      <c r="AA85" s="1" t="s">
        <v>24</v>
      </c>
      <c r="AB85" s="1" t="s">
        <v>25</v>
      </c>
      <c r="AC85" s="1" t="s">
        <v>26</v>
      </c>
      <c r="AD85" s="1" t="s">
        <v>27</v>
      </c>
      <c r="AE85" s="1" t="s">
        <v>28</v>
      </c>
      <c r="AF85" s="1" t="s">
        <v>29</v>
      </c>
      <c r="AG85" s="1" t="s">
        <v>30</v>
      </c>
      <c r="AH85" s="1" t="s">
        <v>31</v>
      </c>
      <c r="AI85" s="1" t="s">
        <v>32</v>
      </c>
    </row>
    <row r="86" spans="1:36" x14ac:dyDescent="0.25">
      <c r="A86" s="41" t="s">
        <v>55</v>
      </c>
      <c r="B86" s="41"/>
      <c r="C86" s="2">
        <f t="shared" ref="C86:M86" si="20">COUNTIFS(B$4:B$15,B83,$AI$4:$AI$15,"YES")</f>
        <v>0</v>
      </c>
      <c r="D86" s="2">
        <f t="shared" si="20"/>
        <v>1</v>
      </c>
      <c r="E86" s="2">
        <f t="shared" si="20"/>
        <v>1</v>
      </c>
      <c r="F86" s="2">
        <f t="shared" si="20"/>
        <v>1</v>
      </c>
      <c r="G86" s="2">
        <f t="shared" si="20"/>
        <v>1</v>
      </c>
      <c r="H86" s="2">
        <f t="shared" si="20"/>
        <v>1</v>
      </c>
      <c r="I86" s="2">
        <f t="shared" si="20"/>
        <v>1</v>
      </c>
      <c r="J86" s="2">
        <f t="shared" si="20"/>
        <v>1</v>
      </c>
      <c r="K86" s="2">
        <f t="shared" si="20"/>
        <v>1</v>
      </c>
      <c r="L86" s="2">
        <f t="shared" si="20"/>
        <v>1</v>
      </c>
      <c r="M86" s="2">
        <f t="shared" si="20"/>
        <v>1</v>
      </c>
      <c r="N86" s="2">
        <f>COUNTIFS(M$4:M$15,M83,$AI$4:$AI$15,"YES")</f>
        <v>1</v>
      </c>
      <c r="O86" s="2">
        <f t="shared" ref="O86:AI86" si="21">COUNTIFS(N$4:N$15,N83,$AI$4:$AI$15,"YES")</f>
        <v>1</v>
      </c>
      <c r="P86" s="2">
        <f t="shared" si="21"/>
        <v>1</v>
      </c>
      <c r="Q86" s="2">
        <f t="shared" si="21"/>
        <v>1</v>
      </c>
      <c r="R86" s="2">
        <f t="shared" si="21"/>
        <v>1</v>
      </c>
      <c r="S86" s="2">
        <f t="shared" si="21"/>
        <v>1</v>
      </c>
      <c r="T86" s="2">
        <f t="shared" si="21"/>
        <v>1</v>
      </c>
      <c r="U86" s="2">
        <f t="shared" si="21"/>
        <v>1</v>
      </c>
      <c r="V86" s="2">
        <f t="shared" si="21"/>
        <v>4</v>
      </c>
      <c r="W86" s="2">
        <f t="shared" si="21"/>
        <v>4</v>
      </c>
      <c r="X86" s="2">
        <f t="shared" si="21"/>
        <v>1</v>
      </c>
      <c r="Y86" s="2">
        <f t="shared" si="21"/>
        <v>1</v>
      </c>
      <c r="Z86" s="2">
        <f t="shared" si="21"/>
        <v>1</v>
      </c>
      <c r="AA86" s="2">
        <f t="shared" si="21"/>
        <v>1</v>
      </c>
      <c r="AB86" s="2">
        <f t="shared" si="21"/>
        <v>1</v>
      </c>
      <c r="AC86" s="2">
        <f t="shared" si="21"/>
        <v>1</v>
      </c>
      <c r="AD86" s="2">
        <f t="shared" si="21"/>
        <v>4</v>
      </c>
      <c r="AE86" s="2">
        <f t="shared" si="21"/>
        <v>1</v>
      </c>
      <c r="AF86" s="2">
        <f t="shared" si="21"/>
        <v>4</v>
      </c>
      <c r="AG86" s="2">
        <f t="shared" si="21"/>
        <v>1</v>
      </c>
      <c r="AH86" s="2">
        <f t="shared" si="21"/>
        <v>4</v>
      </c>
      <c r="AI86" s="2">
        <f t="shared" si="21"/>
        <v>1</v>
      </c>
      <c r="AJ86" s="10"/>
    </row>
    <row r="87" spans="1:36" x14ac:dyDescent="0.25">
      <c r="A87" s="41" t="s">
        <v>42</v>
      </c>
      <c r="B87" s="41"/>
      <c r="C87" s="2">
        <f>COUNTIFS(B$4:B$15,B83,$AI$4:$AI$15,"No")</f>
        <v>0</v>
      </c>
      <c r="D87" s="2">
        <f t="shared" ref="D87:AI87" si="22">COUNTIFS(C$4:C$15,C83,$AI$4:$AI$15,"No")</f>
        <v>1</v>
      </c>
      <c r="E87" s="2">
        <f t="shared" si="22"/>
        <v>2</v>
      </c>
      <c r="F87" s="2">
        <f t="shared" si="22"/>
        <v>1</v>
      </c>
      <c r="G87" s="2">
        <f t="shared" si="22"/>
        <v>1</v>
      </c>
      <c r="H87" s="2">
        <f t="shared" si="22"/>
        <v>2</v>
      </c>
      <c r="I87" s="2">
        <f t="shared" si="22"/>
        <v>1</v>
      </c>
      <c r="J87" s="2">
        <f t="shared" si="22"/>
        <v>2</v>
      </c>
      <c r="K87" s="2">
        <f t="shared" si="22"/>
        <v>1</v>
      </c>
      <c r="L87" s="2">
        <f t="shared" si="22"/>
        <v>1</v>
      </c>
      <c r="M87" s="2">
        <f t="shared" si="22"/>
        <v>1</v>
      </c>
      <c r="N87" s="2">
        <f t="shared" si="22"/>
        <v>2</v>
      </c>
      <c r="O87" s="2">
        <f t="shared" si="22"/>
        <v>1</v>
      </c>
      <c r="P87" s="2">
        <f t="shared" si="22"/>
        <v>1</v>
      </c>
      <c r="Q87" s="2">
        <f t="shared" si="22"/>
        <v>2</v>
      </c>
      <c r="R87" s="2">
        <f t="shared" si="22"/>
        <v>1</v>
      </c>
      <c r="S87" s="2">
        <f t="shared" si="22"/>
        <v>1</v>
      </c>
      <c r="T87" s="2">
        <f t="shared" si="22"/>
        <v>1</v>
      </c>
      <c r="U87" s="2">
        <f t="shared" si="22"/>
        <v>1</v>
      </c>
      <c r="V87" s="2">
        <f t="shared" si="22"/>
        <v>8</v>
      </c>
      <c r="W87" s="2">
        <f t="shared" si="22"/>
        <v>8</v>
      </c>
      <c r="X87" s="2">
        <f t="shared" si="22"/>
        <v>1</v>
      </c>
      <c r="Y87" s="2">
        <f t="shared" si="22"/>
        <v>1</v>
      </c>
      <c r="Z87" s="2">
        <f t="shared" si="22"/>
        <v>1</v>
      </c>
      <c r="AA87" s="2">
        <f t="shared" si="22"/>
        <v>1</v>
      </c>
      <c r="AB87" s="2">
        <f t="shared" si="22"/>
        <v>1</v>
      </c>
      <c r="AC87" s="2">
        <f t="shared" si="22"/>
        <v>1</v>
      </c>
      <c r="AD87" s="2">
        <f t="shared" si="22"/>
        <v>8</v>
      </c>
      <c r="AE87" s="2">
        <f t="shared" si="22"/>
        <v>1</v>
      </c>
      <c r="AF87" s="2">
        <f t="shared" si="22"/>
        <v>8</v>
      </c>
      <c r="AG87" s="2">
        <f t="shared" si="22"/>
        <v>1</v>
      </c>
      <c r="AH87" s="2">
        <f t="shared" si="22"/>
        <v>8</v>
      </c>
      <c r="AI87" s="2">
        <f t="shared" si="22"/>
        <v>1</v>
      </c>
      <c r="AJ87" s="10"/>
    </row>
    <row r="88" spans="1:36" x14ac:dyDescent="0.25">
      <c r="A88" s="41" t="s">
        <v>53</v>
      </c>
      <c r="B88" s="1" t="s">
        <v>55</v>
      </c>
      <c r="C88" s="2">
        <f>C86/$B$28</f>
        <v>0</v>
      </c>
      <c r="D88" s="2">
        <f t="shared" ref="D88:AI88" si="23">D86/$B$28</f>
        <v>3</v>
      </c>
      <c r="E88" s="2">
        <f t="shared" si="23"/>
        <v>3</v>
      </c>
      <c r="F88" s="2">
        <f t="shared" si="23"/>
        <v>3</v>
      </c>
      <c r="G88" s="2">
        <f t="shared" si="23"/>
        <v>3</v>
      </c>
      <c r="H88" s="2">
        <f t="shared" si="23"/>
        <v>3</v>
      </c>
      <c r="I88" s="2">
        <f t="shared" si="23"/>
        <v>3</v>
      </c>
      <c r="J88" s="2">
        <f t="shared" si="23"/>
        <v>3</v>
      </c>
      <c r="K88" s="2">
        <f t="shared" si="23"/>
        <v>3</v>
      </c>
      <c r="L88" s="2">
        <f t="shared" si="23"/>
        <v>3</v>
      </c>
      <c r="M88" s="2">
        <f t="shared" si="23"/>
        <v>3</v>
      </c>
      <c r="N88" s="2">
        <f t="shared" si="23"/>
        <v>3</v>
      </c>
      <c r="O88" s="2">
        <f t="shared" si="23"/>
        <v>3</v>
      </c>
      <c r="P88" s="2">
        <f t="shared" si="23"/>
        <v>3</v>
      </c>
      <c r="Q88" s="2">
        <f t="shared" si="23"/>
        <v>3</v>
      </c>
      <c r="R88" s="2">
        <f t="shared" si="23"/>
        <v>3</v>
      </c>
      <c r="S88" s="2">
        <f t="shared" si="23"/>
        <v>3</v>
      </c>
      <c r="T88" s="2">
        <f t="shared" si="23"/>
        <v>3</v>
      </c>
      <c r="U88" s="2">
        <f t="shared" si="23"/>
        <v>3</v>
      </c>
      <c r="V88" s="2">
        <f t="shared" si="23"/>
        <v>12</v>
      </c>
      <c r="W88" s="2">
        <f t="shared" si="23"/>
        <v>12</v>
      </c>
      <c r="X88" s="2">
        <f t="shared" si="23"/>
        <v>3</v>
      </c>
      <c r="Y88" s="2">
        <f t="shared" si="23"/>
        <v>3</v>
      </c>
      <c r="Z88" s="2">
        <f t="shared" si="23"/>
        <v>3</v>
      </c>
      <c r="AA88" s="2">
        <f t="shared" si="23"/>
        <v>3</v>
      </c>
      <c r="AB88" s="2">
        <f t="shared" si="23"/>
        <v>3</v>
      </c>
      <c r="AC88" s="2">
        <f t="shared" si="23"/>
        <v>3</v>
      </c>
      <c r="AD88" s="2">
        <f t="shared" si="23"/>
        <v>12</v>
      </c>
      <c r="AE88" s="2">
        <f t="shared" si="23"/>
        <v>3</v>
      </c>
      <c r="AF88" s="2">
        <f t="shared" si="23"/>
        <v>12</v>
      </c>
      <c r="AG88" s="2">
        <f t="shared" si="23"/>
        <v>3</v>
      </c>
      <c r="AH88" s="2">
        <f t="shared" si="23"/>
        <v>12</v>
      </c>
      <c r="AI88" s="2">
        <f t="shared" si="23"/>
        <v>3</v>
      </c>
      <c r="AJ88" s="2">
        <f>C88*D88*E88*F88*G88*H88*I88*J88*K88*L88*M88*N88*O88*P88*Q88*R88*S88*T88*U88*V88*W88*X88*Y88*Z88*AA88*AB88*AC88*AD88*AE88*AF88*AG88*AH88*AI88</f>
        <v>0</v>
      </c>
    </row>
    <row r="89" spans="1:36" x14ac:dyDescent="0.25">
      <c r="A89" s="41"/>
      <c r="B89" s="1" t="s">
        <v>42</v>
      </c>
      <c r="C89" s="2">
        <f>C87/$C$28</f>
        <v>0</v>
      </c>
      <c r="D89" s="2">
        <f t="shared" ref="D89:AI89" si="24">D87/$C$28</f>
        <v>1.5</v>
      </c>
      <c r="E89" s="2">
        <f t="shared" si="24"/>
        <v>3</v>
      </c>
      <c r="F89" s="2">
        <f t="shared" si="24"/>
        <v>1.5</v>
      </c>
      <c r="G89" s="2">
        <f t="shared" si="24"/>
        <v>1.5</v>
      </c>
      <c r="H89" s="2">
        <f t="shared" si="24"/>
        <v>3</v>
      </c>
      <c r="I89" s="2">
        <f t="shared" si="24"/>
        <v>1.5</v>
      </c>
      <c r="J89" s="2">
        <f t="shared" si="24"/>
        <v>3</v>
      </c>
      <c r="K89" s="2">
        <f t="shared" si="24"/>
        <v>1.5</v>
      </c>
      <c r="L89" s="2">
        <f t="shared" si="24"/>
        <v>1.5</v>
      </c>
      <c r="M89" s="2">
        <f t="shared" si="24"/>
        <v>1.5</v>
      </c>
      <c r="N89" s="2">
        <f t="shared" si="24"/>
        <v>3</v>
      </c>
      <c r="O89" s="2">
        <f t="shared" si="24"/>
        <v>1.5</v>
      </c>
      <c r="P89" s="2">
        <f t="shared" si="24"/>
        <v>1.5</v>
      </c>
      <c r="Q89" s="2">
        <f t="shared" si="24"/>
        <v>3</v>
      </c>
      <c r="R89" s="2">
        <f t="shared" si="24"/>
        <v>1.5</v>
      </c>
      <c r="S89" s="2">
        <f t="shared" si="24"/>
        <v>1.5</v>
      </c>
      <c r="T89" s="2">
        <f t="shared" si="24"/>
        <v>1.5</v>
      </c>
      <c r="U89" s="2">
        <f t="shared" si="24"/>
        <v>1.5</v>
      </c>
      <c r="V89" s="2">
        <f t="shared" si="24"/>
        <v>12</v>
      </c>
      <c r="W89" s="2">
        <f t="shared" si="24"/>
        <v>12</v>
      </c>
      <c r="X89" s="2">
        <f t="shared" si="24"/>
        <v>1.5</v>
      </c>
      <c r="Y89" s="2">
        <f t="shared" si="24"/>
        <v>1.5</v>
      </c>
      <c r="Z89" s="2">
        <f t="shared" si="24"/>
        <v>1.5</v>
      </c>
      <c r="AA89" s="2">
        <f t="shared" si="24"/>
        <v>1.5</v>
      </c>
      <c r="AB89" s="2">
        <f t="shared" si="24"/>
        <v>1.5</v>
      </c>
      <c r="AC89" s="2">
        <f t="shared" si="24"/>
        <v>1.5</v>
      </c>
      <c r="AD89" s="2">
        <f t="shared" si="24"/>
        <v>12</v>
      </c>
      <c r="AE89" s="2">
        <f t="shared" si="24"/>
        <v>1.5</v>
      </c>
      <c r="AF89" s="2">
        <f t="shared" si="24"/>
        <v>12</v>
      </c>
      <c r="AG89" s="2">
        <f t="shared" si="24"/>
        <v>1.5</v>
      </c>
      <c r="AH89" s="2">
        <f t="shared" si="24"/>
        <v>12</v>
      </c>
      <c r="AI89" s="2">
        <f t="shared" si="24"/>
        <v>1.5</v>
      </c>
      <c r="AJ89" s="2">
        <f>C89*D89*E89*F89*G89*H89*I89*J89*K89*L89*M89*N89*O89*P89*Q89*R89*S89*T89*U89*V89*W89*X89*Y89*Z89*AA89*AB89*AC89*AD89*AE89*AF89*AG89*AH89*AI89</f>
        <v>0</v>
      </c>
    </row>
    <row r="90" spans="1:36" x14ac:dyDescent="0.25">
      <c r="A90" s="9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10"/>
    </row>
    <row r="91" spans="1:36" x14ac:dyDescent="0.25">
      <c r="A91" s="42" t="s">
        <v>56</v>
      </c>
      <c r="B91" s="43"/>
      <c r="C91" s="11" t="s">
        <v>57</v>
      </c>
      <c r="D91" s="10"/>
      <c r="E91" s="10"/>
      <c r="F91" s="10"/>
      <c r="G91" s="10"/>
      <c r="H91" s="10"/>
      <c r="I91" s="10"/>
      <c r="J91" s="10"/>
      <c r="K91" s="10"/>
      <c r="L91" s="10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10"/>
    </row>
    <row r="92" spans="1:36" x14ac:dyDescent="0.25">
      <c r="A92" s="12" t="s">
        <v>55</v>
      </c>
      <c r="B92" s="13">
        <f>AJ88*$B$28</f>
        <v>0</v>
      </c>
      <c r="C92" s="44" t="str">
        <f>IF(B92&gt;B93,A92, A93)</f>
        <v>No</v>
      </c>
      <c r="D92" s="10"/>
      <c r="E92" s="10"/>
      <c r="F92" s="10"/>
      <c r="G92" s="10"/>
      <c r="H92" s="10"/>
      <c r="I92" s="10"/>
      <c r="J92" s="10"/>
      <c r="K92" s="10"/>
      <c r="L92" s="10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10"/>
    </row>
    <row r="93" spans="1:36" x14ac:dyDescent="0.25">
      <c r="A93" s="12" t="s">
        <v>42</v>
      </c>
      <c r="B93" s="13">
        <f>AJ89*$C$28</f>
        <v>0</v>
      </c>
      <c r="C93" s="45"/>
      <c r="D93" s="10"/>
      <c r="E93" s="10"/>
      <c r="F93" s="10"/>
      <c r="G93" s="10"/>
      <c r="H93" s="10"/>
      <c r="I93" s="10"/>
      <c r="J93" s="10"/>
      <c r="K93" s="10"/>
      <c r="L93" s="10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10"/>
    </row>
    <row r="95" spans="1:36" x14ac:dyDescent="0.25">
      <c r="A95" s="36"/>
      <c r="B95" s="37" t="s">
        <v>0</v>
      </c>
      <c r="C95" s="37" t="s">
        <v>1</v>
      </c>
      <c r="D95" s="37" t="s">
        <v>2</v>
      </c>
      <c r="E95" s="37" t="s">
        <v>3</v>
      </c>
      <c r="F95" s="37" t="s">
        <v>4</v>
      </c>
      <c r="G95" s="37" t="s">
        <v>5</v>
      </c>
      <c r="H95" s="37" t="s">
        <v>6</v>
      </c>
      <c r="I95" s="37" t="s">
        <v>7</v>
      </c>
      <c r="J95" s="37" t="s">
        <v>8</v>
      </c>
      <c r="K95" s="37" t="s">
        <v>9</v>
      </c>
      <c r="L95" s="37" t="s">
        <v>10</v>
      </c>
      <c r="M95" s="37" t="s">
        <v>11</v>
      </c>
      <c r="N95" s="37" t="s">
        <v>12</v>
      </c>
      <c r="O95" s="37" t="s">
        <v>13</v>
      </c>
      <c r="P95" s="37" t="s">
        <v>14</v>
      </c>
      <c r="Q95" s="37" t="s">
        <v>15</v>
      </c>
      <c r="R95" s="37" t="s">
        <v>16</v>
      </c>
      <c r="S95" s="37" t="s">
        <v>17</v>
      </c>
      <c r="T95" s="37" t="s">
        <v>18</v>
      </c>
      <c r="U95" s="37" t="s">
        <v>19</v>
      </c>
      <c r="V95" s="37" t="s">
        <v>20</v>
      </c>
      <c r="W95" s="37" t="s">
        <v>21</v>
      </c>
      <c r="X95" s="37" t="s">
        <v>22</v>
      </c>
      <c r="Y95" s="37" t="s">
        <v>23</v>
      </c>
      <c r="Z95" s="37" t="s">
        <v>24</v>
      </c>
      <c r="AA95" s="37" t="s">
        <v>25</v>
      </c>
      <c r="AB95" s="37" t="s">
        <v>26</v>
      </c>
      <c r="AC95" s="37" t="s">
        <v>27</v>
      </c>
      <c r="AD95" s="37" t="s">
        <v>28</v>
      </c>
      <c r="AE95" s="37" t="s">
        <v>29</v>
      </c>
      <c r="AF95" s="37" t="s">
        <v>30</v>
      </c>
      <c r="AG95" s="37" t="s">
        <v>31</v>
      </c>
      <c r="AH95" s="37" t="s">
        <v>32</v>
      </c>
      <c r="AI95" s="37"/>
    </row>
    <row r="96" spans="1:36" x14ac:dyDescent="0.25">
      <c r="A96" s="26" t="s">
        <v>125</v>
      </c>
      <c r="B96" s="26">
        <v>0</v>
      </c>
      <c r="C96" s="26">
        <v>0.1</v>
      </c>
      <c r="D96" s="26">
        <v>0.2</v>
      </c>
      <c r="E96" s="26">
        <v>0.5</v>
      </c>
      <c r="F96" s="26">
        <v>0.1</v>
      </c>
      <c r="G96" s="26">
        <v>0.9</v>
      </c>
      <c r="H96" s="26">
        <v>0.55416666666666603</v>
      </c>
      <c r="I96" s="26">
        <v>0.848101265822784</v>
      </c>
      <c r="J96" s="26">
        <v>0.42278481012658198</v>
      </c>
      <c r="K96" s="26">
        <v>0.13055555555555501</v>
      </c>
      <c r="L96" s="26">
        <v>0.05</v>
      </c>
      <c r="M96" s="26">
        <v>0.26216216216216198</v>
      </c>
      <c r="N96" s="26">
        <v>0.515625</v>
      </c>
      <c r="O96" s="26">
        <v>7.4999999999999997E-2</v>
      </c>
      <c r="P96" s="26">
        <v>5.0632911392405E-2</v>
      </c>
      <c r="Q96" s="26">
        <v>9.9999999999999895E-2</v>
      </c>
      <c r="R96" s="26">
        <v>0.938271604938271</v>
      </c>
      <c r="S96" s="26">
        <v>0.38271604938271597</v>
      </c>
      <c r="T96" s="26">
        <v>0.96296296296296302</v>
      </c>
      <c r="U96" s="26">
        <v>1</v>
      </c>
      <c r="V96" s="26">
        <v>1</v>
      </c>
      <c r="W96" s="26">
        <v>0.12345679012345601</v>
      </c>
      <c r="X96" s="26">
        <v>0.96296296296296302</v>
      </c>
      <c r="Y96" s="26">
        <v>0.95061728395061695</v>
      </c>
      <c r="Z96" s="26">
        <v>0.75308641975308599</v>
      </c>
      <c r="AA96" s="26">
        <v>0.35802469135802401</v>
      </c>
      <c r="AB96" s="26">
        <v>0.98765432098765404</v>
      </c>
      <c r="AC96" s="26">
        <v>1</v>
      </c>
      <c r="AD96" s="26">
        <v>0.97530864197530798</v>
      </c>
      <c r="AE96" s="26">
        <v>1</v>
      </c>
      <c r="AF96" s="26">
        <v>0.46249999999999902</v>
      </c>
      <c r="AG96" s="26">
        <v>1</v>
      </c>
      <c r="AH96" s="26">
        <v>0.89610389610389596</v>
      </c>
      <c r="AI96" s="26" t="s">
        <v>37</v>
      </c>
    </row>
    <row r="98" spans="1:36" x14ac:dyDescent="0.25">
      <c r="A98" s="41" t="s">
        <v>54</v>
      </c>
      <c r="B98" s="41"/>
      <c r="C98" s="1" t="s">
        <v>0</v>
      </c>
      <c r="D98" s="1" t="s">
        <v>1</v>
      </c>
      <c r="E98" s="1" t="s">
        <v>2</v>
      </c>
      <c r="F98" s="1" t="s">
        <v>3</v>
      </c>
      <c r="G98" s="1" t="s">
        <v>4</v>
      </c>
      <c r="H98" s="1" t="s">
        <v>5</v>
      </c>
      <c r="I98" s="1" t="s">
        <v>6</v>
      </c>
      <c r="J98" s="1" t="s">
        <v>7</v>
      </c>
      <c r="K98" s="1" t="s">
        <v>8</v>
      </c>
      <c r="L98" s="1" t="s">
        <v>9</v>
      </c>
      <c r="M98" s="1" t="s">
        <v>10</v>
      </c>
      <c r="N98" s="1" t="s">
        <v>11</v>
      </c>
      <c r="O98" s="1" t="s">
        <v>12</v>
      </c>
      <c r="P98" s="1" t="s">
        <v>13</v>
      </c>
      <c r="Q98" s="1" t="s">
        <v>14</v>
      </c>
      <c r="R98" s="1" t="s">
        <v>15</v>
      </c>
      <c r="S98" s="1" t="s">
        <v>16</v>
      </c>
      <c r="T98" s="1" t="s">
        <v>17</v>
      </c>
      <c r="U98" s="1" t="s">
        <v>18</v>
      </c>
      <c r="V98" s="1" t="s">
        <v>19</v>
      </c>
      <c r="W98" s="1" t="s">
        <v>20</v>
      </c>
      <c r="X98" s="1" t="s">
        <v>21</v>
      </c>
      <c r="Y98" s="1" t="s">
        <v>22</v>
      </c>
      <c r="Z98" s="1" t="s">
        <v>23</v>
      </c>
      <c r="AA98" s="1" t="s">
        <v>24</v>
      </c>
      <c r="AB98" s="1" t="s">
        <v>25</v>
      </c>
      <c r="AC98" s="1" t="s">
        <v>26</v>
      </c>
      <c r="AD98" s="1" t="s">
        <v>27</v>
      </c>
      <c r="AE98" s="1" t="s">
        <v>28</v>
      </c>
      <c r="AF98" s="1" t="s">
        <v>29</v>
      </c>
      <c r="AG98" s="1" t="s">
        <v>30</v>
      </c>
      <c r="AH98" s="1" t="s">
        <v>31</v>
      </c>
      <c r="AI98" s="1" t="s">
        <v>32</v>
      </c>
    </row>
    <row r="99" spans="1:36" x14ac:dyDescent="0.25">
      <c r="A99" s="41" t="s">
        <v>55</v>
      </c>
      <c r="B99" s="41"/>
      <c r="C99" s="2">
        <f>COUNTIFS(B$4:B$15,B96,$AI$4:$AI$15,"YES")</f>
        <v>0</v>
      </c>
      <c r="D99" s="2">
        <f t="shared" ref="D99:M99" si="25">COUNTIFS(C$4:C$15,C96,$AI$4:$AI$15,"YES")</f>
        <v>1</v>
      </c>
      <c r="E99" s="2">
        <f t="shared" si="25"/>
        <v>1</v>
      </c>
      <c r="F99" s="2">
        <f t="shared" si="25"/>
        <v>1</v>
      </c>
      <c r="G99" s="2">
        <f t="shared" si="25"/>
        <v>1</v>
      </c>
      <c r="H99" s="2">
        <f t="shared" si="25"/>
        <v>1</v>
      </c>
      <c r="I99" s="2">
        <f t="shared" si="25"/>
        <v>1</v>
      </c>
      <c r="J99" s="2">
        <f t="shared" si="25"/>
        <v>1</v>
      </c>
      <c r="K99" s="2">
        <f t="shared" si="25"/>
        <v>1</v>
      </c>
      <c r="L99" s="2">
        <f t="shared" si="25"/>
        <v>1</v>
      </c>
      <c r="M99" s="2">
        <f t="shared" si="25"/>
        <v>1</v>
      </c>
      <c r="N99" s="2">
        <f>COUNTIFS(M$4:M$15,M96,$AI$4:$AI$15,"YES")</f>
        <v>1</v>
      </c>
      <c r="O99" s="2">
        <f t="shared" ref="O99:AI99" si="26">COUNTIFS(N$4:N$15,N96,$AI$4:$AI$15,"YES")</f>
        <v>1</v>
      </c>
      <c r="P99" s="2">
        <f t="shared" si="26"/>
        <v>1</v>
      </c>
      <c r="Q99" s="2">
        <f t="shared" si="26"/>
        <v>1</v>
      </c>
      <c r="R99" s="2">
        <f t="shared" si="26"/>
        <v>1</v>
      </c>
      <c r="S99" s="2">
        <f t="shared" si="26"/>
        <v>1</v>
      </c>
      <c r="T99" s="2">
        <f t="shared" si="26"/>
        <v>1</v>
      </c>
      <c r="U99" s="2">
        <f t="shared" si="26"/>
        <v>1</v>
      </c>
      <c r="V99" s="2">
        <f t="shared" si="26"/>
        <v>4</v>
      </c>
      <c r="W99" s="2">
        <f t="shared" si="26"/>
        <v>4</v>
      </c>
      <c r="X99" s="2">
        <f t="shared" si="26"/>
        <v>1</v>
      </c>
      <c r="Y99" s="2">
        <f t="shared" si="26"/>
        <v>1</v>
      </c>
      <c r="Z99" s="2">
        <f t="shared" si="26"/>
        <v>1</v>
      </c>
      <c r="AA99" s="2">
        <f t="shared" si="26"/>
        <v>1</v>
      </c>
      <c r="AB99" s="2">
        <f t="shared" si="26"/>
        <v>1</v>
      </c>
      <c r="AC99" s="2">
        <f t="shared" si="26"/>
        <v>1</v>
      </c>
      <c r="AD99" s="2">
        <f t="shared" si="26"/>
        <v>4</v>
      </c>
      <c r="AE99" s="2">
        <f t="shared" si="26"/>
        <v>1</v>
      </c>
      <c r="AF99" s="2">
        <f t="shared" si="26"/>
        <v>4</v>
      </c>
      <c r="AG99" s="2">
        <f t="shared" si="26"/>
        <v>1</v>
      </c>
      <c r="AH99" s="2">
        <f t="shared" si="26"/>
        <v>4</v>
      </c>
      <c r="AI99" s="2">
        <f t="shared" si="26"/>
        <v>1</v>
      </c>
      <c r="AJ99" s="10"/>
    </row>
    <row r="100" spans="1:36" x14ac:dyDescent="0.25">
      <c r="A100" s="41" t="s">
        <v>42</v>
      </c>
      <c r="B100" s="41"/>
      <c r="C100" s="2">
        <f>COUNTIFS(B$4:B$15,B96,$AI$4:$AI$15,"No")</f>
        <v>0</v>
      </c>
      <c r="D100" s="2">
        <f t="shared" ref="D100:AI100" si="27">COUNTIFS(C$4:C$15,C96,$AI$4:$AI$15,"No")</f>
        <v>1</v>
      </c>
      <c r="E100" s="2">
        <f t="shared" si="27"/>
        <v>2</v>
      </c>
      <c r="F100" s="2">
        <f t="shared" si="27"/>
        <v>1</v>
      </c>
      <c r="G100" s="2">
        <f t="shared" si="27"/>
        <v>1</v>
      </c>
      <c r="H100" s="2">
        <f t="shared" si="27"/>
        <v>2</v>
      </c>
      <c r="I100" s="2">
        <f t="shared" si="27"/>
        <v>1</v>
      </c>
      <c r="J100" s="2">
        <f t="shared" si="27"/>
        <v>2</v>
      </c>
      <c r="K100" s="2">
        <f t="shared" si="27"/>
        <v>1</v>
      </c>
      <c r="L100" s="2">
        <f t="shared" si="27"/>
        <v>1</v>
      </c>
      <c r="M100" s="2">
        <f t="shared" si="27"/>
        <v>1</v>
      </c>
      <c r="N100" s="2">
        <f t="shared" si="27"/>
        <v>2</v>
      </c>
      <c r="O100" s="2">
        <f t="shared" si="27"/>
        <v>1</v>
      </c>
      <c r="P100" s="2">
        <f t="shared" si="27"/>
        <v>1</v>
      </c>
      <c r="Q100" s="2">
        <f t="shared" si="27"/>
        <v>2</v>
      </c>
      <c r="R100" s="2">
        <f t="shared" si="27"/>
        <v>1</v>
      </c>
      <c r="S100" s="2">
        <f t="shared" si="27"/>
        <v>1</v>
      </c>
      <c r="T100" s="2">
        <f t="shared" si="27"/>
        <v>1</v>
      </c>
      <c r="U100" s="2">
        <f t="shared" si="27"/>
        <v>1</v>
      </c>
      <c r="V100" s="2">
        <f t="shared" si="27"/>
        <v>8</v>
      </c>
      <c r="W100" s="2">
        <f t="shared" si="27"/>
        <v>8</v>
      </c>
      <c r="X100" s="2">
        <f t="shared" si="27"/>
        <v>1</v>
      </c>
      <c r="Y100" s="2">
        <f t="shared" si="27"/>
        <v>1</v>
      </c>
      <c r="Z100" s="2">
        <f t="shared" si="27"/>
        <v>1</v>
      </c>
      <c r="AA100" s="2">
        <f t="shared" si="27"/>
        <v>1</v>
      </c>
      <c r="AB100" s="2">
        <f t="shared" si="27"/>
        <v>1</v>
      </c>
      <c r="AC100" s="2">
        <f t="shared" si="27"/>
        <v>1</v>
      </c>
      <c r="AD100" s="2">
        <f t="shared" si="27"/>
        <v>8</v>
      </c>
      <c r="AE100" s="2">
        <f t="shared" si="27"/>
        <v>1</v>
      </c>
      <c r="AF100" s="2">
        <f t="shared" si="27"/>
        <v>8</v>
      </c>
      <c r="AG100" s="2">
        <f t="shared" si="27"/>
        <v>1</v>
      </c>
      <c r="AH100" s="2">
        <f t="shared" si="27"/>
        <v>8</v>
      </c>
      <c r="AI100" s="2">
        <f t="shared" si="27"/>
        <v>1</v>
      </c>
      <c r="AJ100" s="10"/>
    </row>
    <row r="101" spans="1:36" x14ac:dyDescent="0.25">
      <c r="A101" s="41" t="s">
        <v>53</v>
      </c>
      <c r="B101" s="1" t="s">
        <v>55</v>
      </c>
      <c r="C101" s="2">
        <f>C99/$B$28</f>
        <v>0</v>
      </c>
      <c r="D101" s="2">
        <f t="shared" ref="D101:AI101" si="28">D99/$B$28</f>
        <v>3</v>
      </c>
      <c r="E101" s="2">
        <f t="shared" si="28"/>
        <v>3</v>
      </c>
      <c r="F101" s="2">
        <f t="shared" si="28"/>
        <v>3</v>
      </c>
      <c r="G101" s="2">
        <f t="shared" si="28"/>
        <v>3</v>
      </c>
      <c r="H101" s="2">
        <f t="shared" si="28"/>
        <v>3</v>
      </c>
      <c r="I101" s="2">
        <f t="shared" si="28"/>
        <v>3</v>
      </c>
      <c r="J101" s="2">
        <f t="shared" si="28"/>
        <v>3</v>
      </c>
      <c r="K101" s="2">
        <f t="shared" si="28"/>
        <v>3</v>
      </c>
      <c r="L101" s="2">
        <f t="shared" si="28"/>
        <v>3</v>
      </c>
      <c r="M101" s="2">
        <f t="shared" si="28"/>
        <v>3</v>
      </c>
      <c r="N101" s="2">
        <f t="shared" si="28"/>
        <v>3</v>
      </c>
      <c r="O101" s="2">
        <f t="shared" si="28"/>
        <v>3</v>
      </c>
      <c r="P101" s="2">
        <f t="shared" si="28"/>
        <v>3</v>
      </c>
      <c r="Q101" s="2">
        <f t="shared" si="28"/>
        <v>3</v>
      </c>
      <c r="R101" s="2">
        <f t="shared" si="28"/>
        <v>3</v>
      </c>
      <c r="S101" s="2">
        <f t="shared" si="28"/>
        <v>3</v>
      </c>
      <c r="T101" s="2">
        <f t="shared" si="28"/>
        <v>3</v>
      </c>
      <c r="U101" s="2">
        <f t="shared" si="28"/>
        <v>3</v>
      </c>
      <c r="V101" s="2">
        <f t="shared" si="28"/>
        <v>12</v>
      </c>
      <c r="W101" s="2">
        <f t="shared" si="28"/>
        <v>12</v>
      </c>
      <c r="X101" s="2">
        <f t="shared" si="28"/>
        <v>3</v>
      </c>
      <c r="Y101" s="2">
        <f t="shared" si="28"/>
        <v>3</v>
      </c>
      <c r="Z101" s="2">
        <f t="shared" si="28"/>
        <v>3</v>
      </c>
      <c r="AA101" s="2">
        <f t="shared" si="28"/>
        <v>3</v>
      </c>
      <c r="AB101" s="2">
        <f t="shared" si="28"/>
        <v>3</v>
      </c>
      <c r="AC101" s="2">
        <f t="shared" si="28"/>
        <v>3</v>
      </c>
      <c r="AD101" s="2">
        <f t="shared" si="28"/>
        <v>12</v>
      </c>
      <c r="AE101" s="2">
        <f t="shared" si="28"/>
        <v>3</v>
      </c>
      <c r="AF101" s="2">
        <f t="shared" si="28"/>
        <v>12</v>
      </c>
      <c r="AG101" s="2">
        <f t="shared" si="28"/>
        <v>3</v>
      </c>
      <c r="AH101" s="2">
        <f t="shared" si="28"/>
        <v>12</v>
      </c>
      <c r="AI101" s="2">
        <f t="shared" si="28"/>
        <v>3</v>
      </c>
      <c r="AJ101" s="2">
        <f>C101*D101*E101*F101*G101*H101*I101*J101*K101*L101*M101*N101*O101*P101*Q101*R101*S101*T101*U101*V101*W101*X101*Y101*Z101*AA101*AB101*AC101*AD101*AE101*AF101*AG101*AH101*AI101</f>
        <v>0</v>
      </c>
    </row>
    <row r="102" spans="1:36" x14ac:dyDescent="0.25">
      <c r="A102" s="41"/>
      <c r="B102" s="1" t="s">
        <v>42</v>
      </c>
      <c r="C102" s="2">
        <f>C100/$C$28</f>
        <v>0</v>
      </c>
      <c r="D102" s="2">
        <f t="shared" ref="D102:AI102" si="29">D100/$C$28</f>
        <v>1.5</v>
      </c>
      <c r="E102" s="2">
        <f t="shared" si="29"/>
        <v>3</v>
      </c>
      <c r="F102" s="2">
        <f t="shared" si="29"/>
        <v>1.5</v>
      </c>
      <c r="G102" s="2">
        <f t="shared" si="29"/>
        <v>1.5</v>
      </c>
      <c r="H102" s="2">
        <f t="shared" si="29"/>
        <v>3</v>
      </c>
      <c r="I102" s="2">
        <f t="shared" si="29"/>
        <v>1.5</v>
      </c>
      <c r="J102" s="2">
        <f t="shared" si="29"/>
        <v>3</v>
      </c>
      <c r="K102" s="2">
        <f t="shared" si="29"/>
        <v>1.5</v>
      </c>
      <c r="L102" s="2">
        <f t="shared" si="29"/>
        <v>1.5</v>
      </c>
      <c r="M102" s="2">
        <f t="shared" si="29"/>
        <v>1.5</v>
      </c>
      <c r="N102" s="2">
        <f t="shared" si="29"/>
        <v>3</v>
      </c>
      <c r="O102" s="2">
        <f t="shared" si="29"/>
        <v>1.5</v>
      </c>
      <c r="P102" s="2">
        <f t="shared" si="29"/>
        <v>1.5</v>
      </c>
      <c r="Q102" s="2">
        <f t="shared" si="29"/>
        <v>3</v>
      </c>
      <c r="R102" s="2">
        <f t="shared" si="29"/>
        <v>1.5</v>
      </c>
      <c r="S102" s="2">
        <f t="shared" si="29"/>
        <v>1.5</v>
      </c>
      <c r="T102" s="2">
        <f t="shared" si="29"/>
        <v>1.5</v>
      </c>
      <c r="U102" s="2">
        <f t="shared" si="29"/>
        <v>1.5</v>
      </c>
      <c r="V102" s="2">
        <f t="shared" si="29"/>
        <v>12</v>
      </c>
      <c r="W102" s="2">
        <f t="shared" si="29"/>
        <v>12</v>
      </c>
      <c r="X102" s="2">
        <f t="shared" si="29"/>
        <v>1.5</v>
      </c>
      <c r="Y102" s="2">
        <f t="shared" si="29"/>
        <v>1.5</v>
      </c>
      <c r="Z102" s="2">
        <f t="shared" si="29"/>
        <v>1.5</v>
      </c>
      <c r="AA102" s="2">
        <f t="shared" si="29"/>
        <v>1.5</v>
      </c>
      <c r="AB102" s="2">
        <f t="shared" si="29"/>
        <v>1.5</v>
      </c>
      <c r="AC102" s="2">
        <f t="shared" si="29"/>
        <v>1.5</v>
      </c>
      <c r="AD102" s="2">
        <f t="shared" si="29"/>
        <v>12</v>
      </c>
      <c r="AE102" s="2">
        <f t="shared" si="29"/>
        <v>1.5</v>
      </c>
      <c r="AF102" s="2">
        <f t="shared" si="29"/>
        <v>12</v>
      </c>
      <c r="AG102" s="2">
        <f t="shared" si="29"/>
        <v>1.5</v>
      </c>
      <c r="AH102" s="2">
        <f t="shared" si="29"/>
        <v>12</v>
      </c>
      <c r="AI102" s="2">
        <f t="shared" si="29"/>
        <v>1.5</v>
      </c>
      <c r="AJ102" s="2">
        <f>C102*D102*E102*F102*G102*H102*I102*J102*K102*L102*M102*N102*O102*P102*Q102*R102*S102*T102*U102*V102*W102*X102*Y102*Z102*AA102*AB102*AC102*AD102*AE102*AF102*AG102*AH102*AI102</f>
        <v>0</v>
      </c>
    </row>
    <row r="103" spans="1:36" x14ac:dyDescent="0.25">
      <c r="A103" s="9"/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10"/>
    </row>
    <row r="104" spans="1:36" x14ac:dyDescent="0.25">
      <c r="A104" s="42" t="s">
        <v>56</v>
      </c>
      <c r="B104" s="43"/>
      <c r="C104" s="11" t="s">
        <v>57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10"/>
    </row>
    <row r="105" spans="1:36" x14ac:dyDescent="0.25">
      <c r="A105" s="12" t="s">
        <v>55</v>
      </c>
      <c r="B105" s="13">
        <f>AJ101*$B$28</f>
        <v>0</v>
      </c>
      <c r="C105" s="44" t="str">
        <f>IF(B105&gt;B106,A105, A106)</f>
        <v>No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10"/>
    </row>
    <row r="106" spans="1:36" x14ac:dyDescent="0.25">
      <c r="A106" s="12" t="s">
        <v>42</v>
      </c>
      <c r="B106" s="13">
        <f>AJ102*$C$28</f>
        <v>0</v>
      </c>
      <c r="C106" s="45"/>
      <c r="D106" s="10"/>
      <c r="E106" s="10"/>
      <c r="F106" s="10"/>
      <c r="G106" s="10"/>
      <c r="H106" s="10"/>
      <c r="I106" s="10"/>
      <c r="J106" s="10"/>
      <c r="K106" s="10"/>
      <c r="L106" s="10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10"/>
    </row>
    <row r="108" spans="1:36" x14ac:dyDescent="0.25">
      <c r="A108" s="36"/>
      <c r="B108" s="37" t="s">
        <v>0</v>
      </c>
      <c r="C108" s="37" t="s">
        <v>1</v>
      </c>
      <c r="D108" s="37" t="s">
        <v>2</v>
      </c>
      <c r="E108" s="37" t="s">
        <v>3</v>
      </c>
      <c r="F108" s="37" t="s">
        <v>4</v>
      </c>
      <c r="G108" s="37" t="s">
        <v>5</v>
      </c>
      <c r="H108" s="37" t="s">
        <v>6</v>
      </c>
      <c r="I108" s="37" t="s">
        <v>7</v>
      </c>
      <c r="J108" s="37" t="s">
        <v>8</v>
      </c>
      <c r="K108" s="37" t="s">
        <v>9</v>
      </c>
      <c r="L108" s="37" t="s">
        <v>10</v>
      </c>
      <c r="M108" s="37" t="s">
        <v>11</v>
      </c>
      <c r="N108" s="37" t="s">
        <v>12</v>
      </c>
      <c r="O108" s="37" t="s">
        <v>13</v>
      </c>
      <c r="P108" s="37" t="s">
        <v>14</v>
      </c>
      <c r="Q108" s="37" t="s">
        <v>15</v>
      </c>
      <c r="R108" s="37" t="s">
        <v>16</v>
      </c>
      <c r="S108" s="37" t="s">
        <v>17</v>
      </c>
      <c r="T108" s="37" t="s">
        <v>18</v>
      </c>
      <c r="U108" s="37" t="s">
        <v>19</v>
      </c>
      <c r="V108" s="37" t="s">
        <v>20</v>
      </c>
      <c r="W108" s="37" t="s">
        <v>21</v>
      </c>
      <c r="X108" s="37" t="s">
        <v>22</v>
      </c>
      <c r="Y108" s="37" t="s">
        <v>23</v>
      </c>
      <c r="Z108" s="37" t="s">
        <v>24</v>
      </c>
      <c r="AA108" s="37" t="s">
        <v>25</v>
      </c>
      <c r="AB108" s="37" t="s">
        <v>26</v>
      </c>
      <c r="AC108" s="37" t="s">
        <v>27</v>
      </c>
      <c r="AD108" s="37" t="s">
        <v>28</v>
      </c>
      <c r="AE108" s="37" t="s">
        <v>29</v>
      </c>
      <c r="AF108" s="37" t="s">
        <v>30</v>
      </c>
      <c r="AG108" s="37" t="s">
        <v>31</v>
      </c>
      <c r="AH108" s="37" t="s">
        <v>32</v>
      </c>
      <c r="AI108" s="37"/>
    </row>
    <row r="109" spans="1:36" x14ac:dyDescent="0.25">
      <c r="A109" s="26" t="s">
        <v>126</v>
      </c>
      <c r="B109" s="26">
        <v>0.2</v>
      </c>
      <c r="C109" s="26">
        <v>0</v>
      </c>
      <c r="D109" s="26">
        <v>0</v>
      </c>
      <c r="E109" s="26">
        <v>0.7</v>
      </c>
      <c r="F109" s="26">
        <v>0</v>
      </c>
      <c r="G109" s="26">
        <v>1</v>
      </c>
      <c r="H109" s="26">
        <v>0.5</v>
      </c>
      <c r="I109" s="26">
        <v>1</v>
      </c>
      <c r="J109" s="26">
        <v>0.6</v>
      </c>
      <c r="K109" s="26">
        <v>0</v>
      </c>
      <c r="L109" s="26">
        <v>0</v>
      </c>
      <c r="M109" s="26">
        <v>0</v>
      </c>
      <c r="N109" s="26">
        <v>0.5</v>
      </c>
      <c r="O109" s="26">
        <v>0</v>
      </c>
      <c r="P109" s="26">
        <v>0</v>
      </c>
      <c r="Q109" s="26">
        <v>0</v>
      </c>
      <c r="R109" s="26">
        <v>1</v>
      </c>
      <c r="S109" s="26">
        <v>0</v>
      </c>
      <c r="T109" s="26">
        <v>1</v>
      </c>
      <c r="U109" s="26">
        <v>1</v>
      </c>
      <c r="V109" s="26">
        <v>1</v>
      </c>
      <c r="W109" s="26">
        <v>0</v>
      </c>
      <c r="X109" s="26">
        <v>1</v>
      </c>
      <c r="Y109" s="26">
        <v>1</v>
      </c>
      <c r="Z109" s="26">
        <v>0</v>
      </c>
      <c r="AA109" s="26">
        <v>0</v>
      </c>
      <c r="AB109" s="26">
        <v>1</v>
      </c>
      <c r="AC109" s="26">
        <v>1</v>
      </c>
      <c r="AD109" s="26">
        <v>1</v>
      </c>
      <c r="AE109" s="26">
        <v>1</v>
      </c>
      <c r="AF109" s="26">
        <v>0</v>
      </c>
      <c r="AG109" s="26">
        <v>1</v>
      </c>
      <c r="AH109" s="26">
        <v>1</v>
      </c>
      <c r="AI109" s="26" t="s">
        <v>37</v>
      </c>
    </row>
    <row r="111" spans="1:36" x14ac:dyDescent="0.25">
      <c r="A111" s="41" t="s">
        <v>54</v>
      </c>
      <c r="B111" s="41"/>
      <c r="C111" s="1" t="s">
        <v>0</v>
      </c>
      <c r="D111" s="1" t="s">
        <v>1</v>
      </c>
      <c r="E111" s="1" t="s">
        <v>2</v>
      </c>
      <c r="F111" s="1" t="s">
        <v>3</v>
      </c>
      <c r="G111" s="1" t="s">
        <v>4</v>
      </c>
      <c r="H111" s="1" t="s">
        <v>5</v>
      </c>
      <c r="I111" s="1" t="s">
        <v>6</v>
      </c>
      <c r="J111" s="1" t="s">
        <v>7</v>
      </c>
      <c r="K111" s="1" t="s">
        <v>8</v>
      </c>
      <c r="L111" s="1" t="s">
        <v>9</v>
      </c>
      <c r="M111" s="1" t="s">
        <v>10</v>
      </c>
      <c r="N111" s="1" t="s">
        <v>11</v>
      </c>
      <c r="O111" s="1" t="s">
        <v>12</v>
      </c>
      <c r="P111" s="1" t="s">
        <v>13</v>
      </c>
      <c r="Q111" s="1" t="s">
        <v>14</v>
      </c>
      <c r="R111" s="1" t="s">
        <v>15</v>
      </c>
      <c r="S111" s="1" t="s">
        <v>16</v>
      </c>
      <c r="T111" s="1" t="s">
        <v>17</v>
      </c>
      <c r="U111" s="1" t="s">
        <v>18</v>
      </c>
      <c r="V111" s="1" t="s">
        <v>19</v>
      </c>
      <c r="W111" s="1" t="s">
        <v>20</v>
      </c>
      <c r="X111" s="1" t="s">
        <v>21</v>
      </c>
      <c r="Y111" s="1" t="s">
        <v>22</v>
      </c>
      <c r="Z111" s="1" t="s">
        <v>23</v>
      </c>
      <c r="AA111" s="1" t="s">
        <v>24</v>
      </c>
      <c r="AB111" s="1" t="s">
        <v>25</v>
      </c>
      <c r="AC111" s="1" t="s">
        <v>26</v>
      </c>
      <c r="AD111" s="1" t="s">
        <v>27</v>
      </c>
      <c r="AE111" s="1" t="s">
        <v>28</v>
      </c>
      <c r="AF111" s="1" t="s">
        <v>29</v>
      </c>
      <c r="AG111" s="1" t="s">
        <v>30</v>
      </c>
      <c r="AH111" s="1" t="s">
        <v>31</v>
      </c>
      <c r="AI111" s="1" t="s">
        <v>32</v>
      </c>
    </row>
    <row r="112" spans="1:36" x14ac:dyDescent="0.25">
      <c r="A112" s="41" t="s">
        <v>55</v>
      </c>
      <c r="B112" s="41"/>
      <c r="C112" s="2">
        <f>COUNTIFS(B$4:B$15,B109,$AI$4:$AI$15,"YES")</f>
        <v>0</v>
      </c>
      <c r="D112" s="2">
        <f t="shared" ref="D112:M112" si="30">COUNTIFS(C$4:C$15,C109,$AI$4:$AI$15,"YES")</f>
        <v>2</v>
      </c>
      <c r="E112" s="2">
        <f t="shared" si="30"/>
        <v>2</v>
      </c>
      <c r="F112" s="2">
        <f t="shared" si="30"/>
        <v>2</v>
      </c>
      <c r="G112" s="2">
        <f t="shared" si="30"/>
        <v>3</v>
      </c>
      <c r="H112" s="2">
        <f t="shared" si="30"/>
        <v>3</v>
      </c>
      <c r="I112" s="2">
        <f t="shared" si="30"/>
        <v>3</v>
      </c>
      <c r="J112" s="2">
        <f t="shared" si="30"/>
        <v>3</v>
      </c>
      <c r="K112" s="2">
        <f t="shared" si="30"/>
        <v>2</v>
      </c>
      <c r="L112" s="2">
        <f t="shared" si="30"/>
        <v>2</v>
      </c>
      <c r="M112" s="2">
        <f t="shared" si="30"/>
        <v>3</v>
      </c>
      <c r="N112" s="2">
        <f>COUNTIFS(M$4:M$15,M109,$AI$4:$AI$15,"YES")</f>
        <v>1</v>
      </c>
      <c r="O112" s="2">
        <f t="shared" ref="O112:AI112" si="31">COUNTIFS(N$4:N$15,N109,$AI$4:$AI$15,"YES")</f>
        <v>2</v>
      </c>
      <c r="P112" s="2">
        <f t="shared" si="31"/>
        <v>3</v>
      </c>
      <c r="Q112" s="2">
        <f t="shared" si="31"/>
        <v>3</v>
      </c>
      <c r="R112" s="2">
        <f t="shared" si="31"/>
        <v>3</v>
      </c>
      <c r="S112" s="2">
        <f t="shared" si="31"/>
        <v>3</v>
      </c>
      <c r="T112" s="2">
        <f t="shared" si="31"/>
        <v>2</v>
      </c>
      <c r="U112" s="2">
        <f t="shared" si="31"/>
        <v>3</v>
      </c>
      <c r="V112" s="2">
        <f t="shared" si="31"/>
        <v>4</v>
      </c>
      <c r="W112" s="2">
        <f t="shared" si="31"/>
        <v>4</v>
      </c>
      <c r="X112" s="2">
        <f t="shared" si="31"/>
        <v>3</v>
      </c>
      <c r="Y112" s="2">
        <f t="shared" si="31"/>
        <v>3</v>
      </c>
      <c r="Z112" s="2">
        <f t="shared" si="31"/>
        <v>3</v>
      </c>
      <c r="AA112" s="2">
        <f t="shared" si="31"/>
        <v>0</v>
      </c>
      <c r="AB112" s="2">
        <f t="shared" si="31"/>
        <v>3</v>
      </c>
      <c r="AC112" s="2">
        <f t="shared" si="31"/>
        <v>3</v>
      </c>
      <c r="AD112" s="2">
        <f t="shared" si="31"/>
        <v>4</v>
      </c>
      <c r="AE112" s="2">
        <f t="shared" si="31"/>
        <v>3</v>
      </c>
      <c r="AF112" s="2">
        <f t="shared" si="31"/>
        <v>4</v>
      </c>
      <c r="AG112" s="2">
        <f t="shared" si="31"/>
        <v>2</v>
      </c>
      <c r="AH112" s="2">
        <f t="shared" si="31"/>
        <v>4</v>
      </c>
      <c r="AI112" s="2">
        <f t="shared" si="31"/>
        <v>3</v>
      </c>
      <c r="AJ112" s="10"/>
    </row>
    <row r="113" spans="1:36" x14ac:dyDescent="0.25">
      <c r="A113" s="41" t="s">
        <v>42</v>
      </c>
      <c r="B113" s="41"/>
      <c r="C113" s="2">
        <f>COUNTIFS(B$4:B$15,B109,$AI$4:$AI$15,"No")</f>
        <v>1</v>
      </c>
      <c r="D113" s="2">
        <f t="shared" ref="D113:AI113" si="32">COUNTIFS(C$4:C$15,C109,$AI$4:$AI$15,"No")</f>
        <v>4</v>
      </c>
      <c r="E113" s="2">
        <f t="shared" si="32"/>
        <v>3</v>
      </c>
      <c r="F113" s="2">
        <f t="shared" si="32"/>
        <v>2</v>
      </c>
      <c r="G113" s="2">
        <f t="shared" si="32"/>
        <v>3</v>
      </c>
      <c r="H113" s="2">
        <f t="shared" si="32"/>
        <v>5</v>
      </c>
      <c r="I113" s="2">
        <f t="shared" si="32"/>
        <v>6</v>
      </c>
      <c r="J113" s="2">
        <f t="shared" si="32"/>
        <v>5</v>
      </c>
      <c r="K113" s="2">
        <f t="shared" si="32"/>
        <v>2</v>
      </c>
      <c r="L113" s="2">
        <f t="shared" si="32"/>
        <v>5</v>
      </c>
      <c r="M113" s="2">
        <f t="shared" si="32"/>
        <v>6</v>
      </c>
      <c r="N113" s="2">
        <f t="shared" si="32"/>
        <v>1</v>
      </c>
      <c r="O113" s="2">
        <f t="shared" si="32"/>
        <v>5</v>
      </c>
      <c r="P113" s="2">
        <f t="shared" si="32"/>
        <v>6</v>
      </c>
      <c r="Q113" s="2">
        <f t="shared" si="32"/>
        <v>6</v>
      </c>
      <c r="R113" s="2">
        <f t="shared" si="32"/>
        <v>6</v>
      </c>
      <c r="S113" s="2">
        <f t="shared" si="32"/>
        <v>6</v>
      </c>
      <c r="T113" s="2">
        <f t="shared" si="32"/>
        <v>4</v>
      </c>
      <c r="U113" s="2">
        <f t="shared" si="32"/>
        <v>7</v>
      </c>
      <c r="V113" s="2">
        <f t="shared" si="32"/>
        <v>8</v>
      </c>
      <c r="W113" s="2">
        <f t="shared" si="32"/>
        <v>8</v>
      </c>
      <c r="X113" s="2">
        <f t="shared" si="32"/>
        <v>6</v>
      </c>
      <c r="Y113" s="2">
        <f t="shared" si="32"/>
        <v>7</v>
      </c>
      <c r="Z113" s="2">
        <f t="shared" si="32"/>
        <v>7</v>
      </c>
      <c r="AA113" s="2">
        <f t="shared" si="32"/>
        <v>2</v>
      </c>
      <c r="AB113" s="2">
        <f t="shared" si="32"/>
        <v>4</v>
      </c>
      <c r="AC113" s="2">
        <f t="shared" si="32"/>
        <v>7</v>
      </c>
      <c r="AD113" s="2">
        <f t="shared" si="32"/>
        <v>8</v>
      </c>
      <c r="AE113" s="2">
        <f t="shared" si="32"/>
        <v>7</v>
      </c>
      <c r="AF113" s="2">
        <f t="shared" si="32"/>
        <v>8</v>
      </c>
      <c r="AG113" s="2">
        <f t="shared" si="32"/>
        <v>3</v>
      </c>
      <c r="AH113" s="2">
        <f t="shared" si="32"/>
        <v>8</v>
      </c>
      <c r="AI113" s="2">
        <f t="shared" si="32"/>
        <v>3</v>
      </c>
      <c r="AJ113" s="10"/>
    </row>
    <row r="114" spans="1:36" x14ac:dyDescent="0.25">
      <c r="A114" s="41" t="s">
        <v>53</v>
      </c>
      <c r="B114" s="1" t="s">
        <v>55</v>
      </c>
      <c r="C114" s="2">
        <f>C112/$B$28</f>
        <v>0</v>
      </c>
      <c r="D114" s="2">
        <f t="shared" ref="D114:AI114" si="33">D112/$B$28</f>
        <v>6</v>
      </c>
      <c r="E114" s="2">
        <f t="shared" si="33"/>
        <v>6</v>
      </c>
      <c r="F114" s="2">
        <f t="shared" si="33"/>
        <v>6</v>
      </c>
      <c r="G114" s="2">
        <f t="shared" si="33"/>
        <v>9</v>
      </c>
      <c r="H114" s="2">
        <f t="shared" si="33"/>
        <v>9</v>
      </c>
      <c r="I114" s="2">
        <f t="shared" si="33"/>
        <v>9</v>
      </c>
      <c r="J114" s="2">
        <f t="shared" si="33"/>
        <v>9</v>
      </c>
      <c r="K114" s="2">
        <f t="shared" si="33"/>
        <v>6</v>
      </c>
      <c r="L114" s="2">
        <f t="shared" si="33"/>
        <v>6</v>
      </c>
      <c r="M114" s="2">
        <f t="shared" si="33"/>
        <v>9</v>
      </c>
      <c r="N114" s="2">
        <f t="shared" si="33"/>
        <v>3</v>
      </c>
      <c r="O114" s="2">
        <f t="shared" si="33"/>
        <v>6</v>
      </c>
      <c r="P114" s="2">
        <f t="shared" si="33"/>
        <v>9</v>
      </c>
      <c r="Q114" s="2">
        <f t="shared" si="33"/>
        <v>9</v>
      </c>
      <c r="R114" s="2">
        <f t="shared" si="33"/>
        <v>9</v>
      </c>
      <c r="S114" s="2">
        <f t="shared" si="33"/>
        <v>9</v>
      </c>
      <c r="T114" s="2">
        <f t="shared" si="33"/>
        <v>6</v>
      </c>
      <c r="U114" s="2">
        <f t="shared" si="33"/>
        <v>9</v>
      </c>
      <c r="V114" s="2">
        <f t="shared" si="33"/>
        <v>12</v>
      </c>
      <c r="W114" s="2">
        <f t="shared" si="33"/>
        <v>12</v>
      </c>
      <c r="X114" s="2">
        <f t="shared" si="33"/>
        <v>9</v>
      </c>
      <c r="Y114" s="2">
        <f t="shared" si="33"/>
        <v>9</v>
      </c>
      <c r="Z114" s="2">
        <f t="shared" si="33"/>
        <v>9</v>
      </c>
      <c r="AA114" s="2">
        <f t="shared" si="33"/>
        <v>0</v>
      </c>
      <c r="AB114" s="2">
        <f t="shared" si="33"/>
        <v>9</v>
      </c>
      <c r="AC114" s="2">
        <f t="shared" si="33"/>
        <v>9</v>
      </c>
      <c r="AD114" s="2">
        <f t="shared" si="33"/>
        <v>12</v>
      </c>
      <c r="AE114" s="2">
        <f t="shared" si="33"/>
        <v>9</v>
      </c>
      <c r="AF114" s="2">
        <f t="shared" si="33"/>
        <v>12</v>
      </c>
      <c r="AG114" s="2">
        <f t="shared" si="33"/>
        <v>6</v>
      </c>
      <c r="AH114" s="2">
        <f t="shared" si="33"/>
        <v>12</v>
      </c>
      <c r="AI114" s="2">
        <f t="shared" si="33"/>
        <v>9</v>
      </c>
      <c r="AJ114" s="2">
        <f>C114*D114*E114*F114*G114*H114*I114*J114*K114*L114*M114*N114*O114*P114*Q114*R114*S114*T114*U114*V114*W114*X114*Y114*Z114*AA114*AB114*AC114*AD114*AE114*AF114*AG114*AH114*AI114</f>
        <v>0</v>
      </c>
    </row>
    <row r="115" spans="1:36" x14ac:dyDescent="0.25">
      <c r="A115" s="41"/>
      <c r="B115" s="1" t="s">
        <v>42</v>
      </c>
      <c r="C115" s="2">
        <f>C113/$C$28</f>
        <v>1.5</v>
      </c>
      <c r="D115" s="2">
        <f t="shared" ref="D115:AI115" si="34">D113/$C$28</f>
        <v>6</v>
      </c>
      <c r="E115" s="2">
        <f t="shared" si="34"/>
        <v>4.5</v>
      </c>
      <c r="F115" s="2">
        <f t="shared" si="34"/>
        <v>3</v>
      </c>
      <c r="G115" s="2">
        <f t="shared" si="34"/>
        <v>4.5</v>
      </c>
      <c r="H115" s="2">
        <f t="shared" si="34"/>
        <v>7.5</v>
      </c>
      <c r="I115" s="2">
        <f t="shared" si="34"/>
        <v>9</v>
      </c>
      <c r="J115" s="2">
        <f t="shared" si="34"/>
        <v>7.5</v>
      </c>
      <c r="K115" s="2">
        <f t="shared" si="34"/>
        <v>3</v>
      </c>
      <c r="L115" s="2">
        <f t="shared" si="34"/>
        <v>7.5</v>
      </c>
      <c r="M115" s="2">
        <f t="shared" si="34"/>
        <v>9</v>
      </c>
      <c r="N115" s="2">
        <f t="shared" si="34"/>
        <v>1.5</v>
      </c>
      <c r="O115" s="2">
        <f t="shared" si="34"/>
        <v>7.5</v>
      </c>
      <c r="P115" s="2">
        <f t="shared" si="34"/>
        <v>9</v>
      </c>
      <c r="Q115" s="2">
        <f t="shared" si="34"/>
        <v>9</v>
      </c>
      <c r="R115" s="2">
        <f t="shared" si="34"/>
        <v>9</v>
      </c>
      <c r="S115" s="2">
        <f t="shared" si="34"/>
        <v>9</v>
      </c>
      <c r="T115" s="2">
        <f t="shared" si="34"/>
        <v>6</v>
      </c>
      <c r="U115" s="2">
        <f t="shared" si="34"/>
        <v>10.5</v>
      </c>
      <c r="V115" s="2">
        <f t="shared" si="34"/>
        <v>12</v>
      </c>
      <c r="W115" s="2">
        <f t="shared" si="34"/>
        <v>12</v>
      </c>
      <c r="X115" s="2">
        <f t="shared" si="34"/>
        <v>9</v>
      </c>
      <c r="Y115" s="2">
        <f t="shared" si="34"/>
        <v>10.5</v>
      </c>
      <c r="Z115" s="2">
        <f t="shared" si="34"/>
        <v>10.5</v>
      </c>
      <c r="AA115" s="2">
        <f t="shared" si="34"/>
        <v>3</v>
      </c>
      <c r="AB115" s="2">
        <f t="shared" si="34"/>
        <v>6</v>
      </c>
      <c r="AC115" s="2">
        <f t="shared" si="34"/>
        <v>10.5</v>
      </c>
      <c r="AD115" s="2">
        <f t="shared" si="34"/>
        <v>12</v>
      </c>
      <c r="AE115" s="2">
        <f t="shared" si="34"/>
        <v>10.5</v>
      </c>
      <c r="AF115" s="2">
        <f t="shared" si="34"/>
        <v>12</v>
      </c>
      <c r="AG115" s="2">
        <f t="shared" si="34"/>
        <v>4.5</v>
      </c>
      <c r="AH115" s="2">
        <f t="shared" si="34"/>
        <v>12</v>
      </c>
      <c r="AI115" s="2">
        <f t="shared" si="34"/>
        <v>4.5</v>
      </c>
      <c r="AJ115" s="2">
        <f>C115*D115*E115*F115*G115*H115*I115*J115*K115*L115*M115*N115*O115*P115*Q115*R115*S115*T115*U115*V115*W115*X115*Y115*Z115*AA115*AB115*AC115*AD115*AE115*AF115*AG115*AH115*AI115</f>
        <v>2.586100711406243E+27</v>
      </c>
    </row>
    <row r="116" spans="1:36" x14ac:dyDescent="0.25">
      <c r="A116" s="9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10"/>
    </row>
    <row r="117" spans="1:36" x14ac:dyDescent="0.25">
      <c r="A117" s="42" t="s">
        <v>56</v>
      </c>
      <c r="B117" s="43"/>
      <c r="C117" s="11" t="s">
        <v>57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10"/>
    </row>
    <row r="118" spans="1:36" x14ac:dyDescent="0.25">
      <c r="A118" s="12" t="s">
        <v>55</v>
      </c>
      <c r="B118" s="13">
        <f>AJ114*$B$28</f>
        <v>0</v>
      </c>
      <c r="C118" s="44" t="str">
        <f>IF(B118&gt;B119,A118, A119)</f>
        <v>No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10"/>
    </row>
    <row r="119" spans="1:36" x14ac:dyDescent="0.25">
      <c r="A119" s="12" t="s">
        <v>42</v>
      </c>
      <c r="B119" s="13">
        <f>AJ115*$C$28</f>
        <v>1.7240671409374952E+27</v>
      </c>
      <c r="C119" s="45"/>
      <c r="D119" s="10"/>
      <c r="E119" s="10"/>
      <c r="F119" s="10"/>
      <c r="G119" s="10"/>
      <c r="H119" s="10"/>
      <c r="I119" s="10"/>
      <c r="J119" s="10"/>
      <c r="K119" s="10"/>
      <c r="L119" s="1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10"/>
    </row>
    <row r="121" spans="1:36" x14ac:dyDescent="0.25">
      <c r="A121" s="36"/>
      <c r="B121" s="37" t="s">
        <v>0</v>
      </c>
      <c r="C121" s="37" t="s">
        <v>1</v>
      </c>
      <c r="D121" s="37" t="s">
        <v>2</v>
      </c>
      <c r="E121" s="37" t="s">
        <v>3</v>
      </c>
      <c r="F121" s="37" t="s">
        <v>4</v>
      </c>
      <c r="G121" s="37" t="s">
        <v>5</v>
      </c>
      <c r="H121" s="37" t="s">
        <v>6</v>
      </c>
      <c r="I121" s="37" t="s">
        <v>7</v>
      </c>
      <c r="J121" s="37" t="s">
        <v>8</v>
      </c>
      <c r="K121" s="37" t="s">
        <v>9</v>
      </c>
      <c r="L121" s="37" t="s">
        <v>10</v>
      </c>
      <c r="M121" s="37" t="s">
        <v>11</v>
      </c>
      <c r="N121" s="37" t="s">
        <v>12</v>
      </c>
      <c r="O121" s="37" t="s">
        <v>13</v>
      </c>
      <c r="P121" s="37" t="s">
        <v>14</v>
      </c>
      <c r="Q121" s="37" t="s">
        <v>15</v>
      </c>
      <c r="R121" s="37" t="s">
        <v>16</v>
      </c>
      <c r="S121" s="37" t="s">
        <v>17</v>
      </c>
      <c r="T121" s="37" t="s">
        <v>18</v>
      </c>
      <c r="U121" s="37" t="s">
        <v>19</v>
      </c>
      <c r="V121" s="37" t="s">
        <v>20</v>
      </c>
      <c r="W121" s="37" t="s">
        <v>21</v>
      </c>
      <c r="X121" s="37" t="s">
        <v>22</v>
      </c>
      <c r="Y121" s="37" t="s">
        <v>23</v>
      </c>
      <c r="Z121" s="37" t="s">
        <v>24</v>
      </c>
      <c r="AA121" s="37" t="s">
        <v>25</v>
      </c>
      <c r="AB121" s="37" t="s">
        <v>26</v>
      </c>
      <c r="AC121" s="37" t="s">
        <v>27</v>
      </c>
      <c r="AD121" s="37" t="s">
        <v>28</v>
      </c>
      <c r="AE121" s="37" t="s">
        <v>29</v>
      </c>
      <c r="AF121" s="37" t="s">
        <v>30</v>
      </c>
      <c r="AG121" s="37" t="s">
        <v>31</v>
      </c>
      <c r="AH121" s="37" t="s">
        <v>32</v>
      </c>
      <c r="AI121" s="37"/>
    </row>
    <row r="122" spans="1:36" x14ac:dyDescent="0.25">
      <c r="A122" s="26" t="str">
        <f t="shared" ref="A122:AI122" si="35">A23</f>
        <v>D20</v>
      </c>
      <c r="B122" s="26">
        <f t="shared" si="35"/>
        <v>0.3</v>
      </c>
      <c r="C122" s="26">
        <f t="shared" si="35"/>
        <v>0</v>
      </c>
      <c r="D122" s="26">
        <f t="shared" si="35"/>
        <v>0</v>
      </c>
      <c r="E122" s="26">
        <f t="shared" si="35"/>
        <v>0.7</v>
      </c>
      <c r="F122" s="26">
        <f t="shared" si="35"/>
        <v>0</v>
      </c>
      <c r="G122" s="26">
        <f t="shared" si="35"/>
        <v>1</v>
      </c>
      <c r="H122" s="26">
        <f t="shared" si="35"/>
        <v>0.5</v>
      </c>
      <c r="I122" s="26">
        <f t="shared" si="35"/>
        <v>1</v>
      </c>
      <c r="J122" s="26">
        <f t="shared" si="35"/>
        <v>0.6</v>
      </c>
      <c r="K122" s="26">
        <f t="shared" si="35"/>
        <v>0</v>
      </c>
      <c r="L122" s="26">
        <f t="shared" si="35"/>
        <v>0</v>
      </c>
      <c r="M122" s="26">
        <f t="shared" si="35"/>
        <v>0.2</v>
      </c>
      <c r="N122" s="26">
        <f t="shared" si="35"/>
        <v>0.5</v>
      </c>
      <c r="O122" s="26">
        <f t="shared" si="35"/>
        <v>0</v>
      </c>
      <c r="P122" s="26">
        <f t="shared" si="35"/>
        <v>0</v>
      </c>
      <c r="Q122" s="26">
        <f t="shared" si="35"/>
        <v>0</v>
      </c>
      <c r="R122" s="26">
        <f t="shared" si="35"/>
        <v>1</v>
      </c>
      <c r="S122" s="26">
        <f t="shared" si="35"/>
        <v>1</v>
      </c>
      <c r="T122" s="26">
        <f t="shared" si="35"/>
        <v>1</v>
      </c>
      <c r="U122" s="26">
        <f t="shared" si="35"/>
        <v>1</v>
      </c>
      <c r="V122" s="26">
        <f t="shared" si="35"/>
        <v>1</v>
      </c>
      <c r="W122" s="26">
        <f t="shared" si="35"/>
        <v>0</v>
      </c>
      <c r="X122" s="26">
        <f t="shared" si="35"/>
        <v>1</v>
      </c>
      <c r="Y122" s="26">
        <f t="shared" si="35"/>
        <v>1</v>
      </c>
      <c r="Z122" s="26">
        <f t="shared" si="35"/>
        <v>1</v>
      </c>
      <c r="AA122" s="26">
        <f t="shared" si="35"/>
        <v>1</v>
      </c>
      <c r="AB122" s="26">
        <f t="shared" si="35"/>
        <v>1</v>
      </c>
      <c r="AC122" s="26">
        <f t="shared" si="35"/>
        <v>1</v>
      </c>
      <c r="AD122" s="26">
        <f t="shared" si="35"/>
        <v>1</v>
      </c>
      <c r="AE122" s="26">
        <f t="shared" si="35"/>
        <v>1</v>
      </c>
      <c r="AF122" s="26">
        <f t="shared" si="35"/>
        <v>0</v>
      </c>
      <c r="AG122" s="26">
        <f t="shared" si="35"/>
        <v>1</v>
      </c>
      <c r="AH122" s="26">
        <f t="shared" si="35"/>
        <v>1</v>
      </c>
      <c r="AI122" s="26" t="str">
        <f t="shared" si="35"/>
        <v>?</v>
      </c>
    </row>
    <row r="124" spans="1:36" x14ac:dyDescent="0.25">
      <c r="A124" s="41" t="s">
        <v>54</v>
      </c>
      <c r="B124" s="41"/>
      <c r="C124" s="1" t="s">
        <v>0</v>
      </c>
      <c r="D124" s="1" t="s">
        <v>1</v>
      </c>
      <c r="E124" s="1" t="s">
        <v>2</v>
      </c>
      <c r="F124" s="1" t="s">
        <v>3</v>
      </c>
      <c r="G124" s="1" t="s">
        <v>4</v>
      </c>
      <c r="H124" s="1" t="s">
        <v>5</v>
      </c>
      <c r="I124" s="1" t="s">
        <v>6</v>
      </c>
      <c r="J124" s="1" t="s">
        <v>7</v>
      </c>
      <c r="K124" s="1" t="s">
        <v>8</v>
      </c>
      <c r="L124" s="1" t="s">
        <v>9</v>
      </c>
      <c r="M124" s="1" t="s">
        <v>10</v>
      </c>
      <c r="N124" s="1" t="s">
        <v>11</v>
      </c>
      <c r="O124" s="1" t="s">
        <v>12</v>
      </c>
      <c r="P124" s="1" t="s">
        <v>13</v>
      </c>
      <c r="Q124" s="1" t="s">
        <v>14</v>
      </c>
      <c r="R124" s="1" t="s">
        <v>15</v>
      </c>
      <c r="S124" s="1" t="s">
        <v>16</v>
      </c>
      <c r="T124" s="1" t="s">
        <v>17</v>
      </c>
      <c r="U124" s="1" t="s">
        <v>18</v>
      </c>
      <c r="V124" s="1" t="s">
        <v>19</v>
      </c>
      <c r="W124" s="1" t="s">
        <v>20</v>
      </c>
      <c r="X124" s="1" t="s">
        <v>21</v>
      </c>
      <c r="Y124" s="1" t="s">
        <v>22</v>
      </c>
      <c r="Z124" s="1" t="s">
        <v>23</v>
      </c>
      <c r="AA124" s="1" t="s">
        <v>24</v>
      </c>
      <c r="AB124" s="1" t="s">
        <v>25</v>
      </c>
      <c r="AC124" s="1" t="s">
        <v>26</v>
      </c>
      <c r="AD124" s="1" t="s">
        <v>27</v>
      </c>
      <c r="AE124" s="1" t="s">
        <v>28</v>
      </c>
      <c r="AF124" s="1" t="s">
        <v>29</v>
      </c>
      <c r="AG124" s="1" t="s">
        <v>30</v>
      </c>
      <c r="AH124" s="1" t="s">
        <v>31</v>
      </c>
      <c r="AI124" s="1" t="s">
        <v>32</v>
      </c>
    </row>
    <row r="125" spans="1:36" x14ac:dyDescent="0.25">
      <c r="A125" s="41" t="s">
        <v>55</v>
      </c>
      <c r="B125" s="41"/>
      <c r="C125" s="2">
        <f t="shared" ref="C125:M125" si="36">COUNTIFS(B$4:B$15,B122,$AI$4:$AI$15,"YES")</f>
        <v>1</v>
      </c>
      <c r="D125" s="2">
        <f t="shared" si="36"/>
        <v>2</v>
      </c>
      <c r="E125" s="2">
        <f t="shared" si="36"/>
        <v>2</v>
      </c>
      <c r="F125" s="2">
        <f t="shared" si="36"/>
        <v>2</v>
      </c>
      <c r="G125" s="2">
        <f t="shared" si="36"/>
        <v>3</v>
      </c>
      <c r="H125" s="2">
        <f t="shared" si="36"/>
        <v>3</v>
      </c>
      <c r="I125" s="2">
        <f t="shared" si="36"/>
        <v>3</v>
      </c>
      <c r="J125" s="2">
        <f t="shared" si="36"/>
        <v>3</v>
      </c>
      <c r="K125" s="2">
        <f t="shared" si="36"/>
        <v>2</v>
      </c>
      <c r="L125" s="2">
        <f t="shared" si="36"/>
        <v>2</v>
      </c>
      <c r="M125" s="2">
        <f t="shared" si="36"/>
        <v>3</v>
      </c>
      <c r="N125" s="2">
        <f>COUNTIFS(M$4:M$15,M122,$AI$4:$AI$15,"YES")</f>
        <v>2</v>
      </c>
      <c r="O125" s="2">
        <f t="shared" ref="O125:AI125" si="37">COUNTIFS(N$4:N$15,N122,$AI$4:$AI$15,"YES")</f>
        <v>2</v>
      </c>
      <c r="P125" s="2">
        <f t="shared" si="37"/>
        <v>3</v>
      </c>
      <c r="Q125" s="2">
        <f t="shared" si="37"/>
        <v>3</v>
      </c>
      <c r="R125" s="2">
        <f t="shared" si="37"/>
        <v>3</v>
      </c>
      <c r="S125" s="2">
        <f t="shared" si="37"/>
        <v>3</v>
      </c>
      <c r="T125" s="2">
        <f t="shared" si="37"/>
        <v>1</v>
      </c>
      <c r="U125" s="2">
        <f t="shared" si="37"/>
        <v>3</v>
      </c>
      <c r="V125" s="2">
        <f t="shared" si="37"/>
        <v>4</v>
      </c>
      <c r="W125" s="2">
        <f t="shared" si="37"/>
        <v>4</v>
      </c>
      <c r="X125" s="2">
        <f t="shared" si="37"/>
        <v>3</v>
      </c>
      <c r="Y125" s="2">
        <f t="shared" si="37"/>
        <v>3</v>
      </c>
      <c r="Z125" s="2">
        <f t="shared" si="37"/>
        <v>3</v>
      </c>
      <c r="AA125" s="2">
        <f t="shared" si="37"/>
        <v>3</v>
      </c>
      <c r="AB125" s="2">
        <f>COUNTIFS(AA$4:AA$15,AA122,$AI$4:$AI$15,"YES")</f>
        <v>0</v>
      </c>
      <c r="AC125" s="2">
        <f t="shared" si="37"/>
        <v>3</v>
      </c>
      <c r="AD125" s="2">
        <f t="shared" si="37"/>
        <v>4</v>
      </c>
      <c r="AE125" s="2">
        <f t="shared" si="37"/>
        <v>3</v>
      </c>
      <c r="AF125" s="2">
        <f t="shared" si="37"/>
        <v>4</v>
      </c>
      <c r="AG125" s="2">
        <f t="shared" si="37"/>
        <v>2</v>
      </c>
      <c r="AH125" s="2">
        <f t="shared" si="37"/>
        <v>4</v>
      </c>
      <c r="AI125" s="2">
        <f t="shared" si="37"/>
        <v>3</v>
      </c>
      <c r="AJ125" s="10"/>
    </row>
    <row r="126" spans="1:36" x14ac:dyDescent="0.25">
      <c r="A126" s="41" t="s">
        <v>42</v>
      </c>
      <c r="B126" s="41"/>
      <c r="C126" s="2">
        <f>COUNTIFS(B$4:B$15,B122,$AI$4:$AI$15,"No")</f>
        <v>1</v>
      </c>
      <c r="D126" s="2">
        <f t="shared" ref="D126:AI126" si="38">COUNTIFS(C$4:C$15,C122,$AI$4:$AI$15,"No")</f>
        <v>4</v>
      </c>
      <c r="E126" s="2">
        <f t="shared" si="38"/>
        <v>3</v>
      </c>
      <c r="F126" s="2">
        <f t="shared" si="38"/>
        <v>2</v>
      </c>
      <c r="G126" s="2">
        <f t="shared" si="38"/>
        <v>3</v>
      </c>
      <c r="H126" s="2">
        <f t="shared" si="38"/>
        <v>5</v>
      </c>
      <c r="I126" s="2">
        <f t="shared" si="38"/>
        <v>6</v>
      </c>
      <c r="J126" s="2">
        <f t="shared" si="38"/>
        <v>5</v>
      </c>
      <c r="K126" s="2">
        <f t="shared" si="38"/>
        <v>2</v>
      </c>
      <c r="L126" s="2">
        <f t="shared" si="38"/>
        <v>5</v>
      </c>
      <c r="M126" s="2">
        <f t="shared" si="38"/>
        <v>6</v>
      </c>
      <c r="N126" s="2">
        <f t="shared" si="38"/>
        <v>4</v>
      </c>
      <c r="O126" s="2">
        <f t="shared" si="38"/>
        <v>5</v>
      </c>
      <c r="P126" s="2">
        <f t="shared" si="38"/>
        <v>6</v>
      </c>
      <c r="Q126" s="2">
        <f t="shared" si="38"/>
        <v>6</v>
      </c>
      <c r="R126" s="2">
        <f t="shared" si="38"/>
        <v>6</v>
      </c>
      <c r="S126" s="2">
        <f t="shared" si="38"/>
        <v>6</v>
      </c>
      <c r="T126" s="2">
        <f t="shared" si="38"/>
        <v>3</v>
      </c>
      <c r="U126" s="2">
        <f t="shared" si="38"/>
        <v>7</v>
      </c>
      <c r="V126" s="2">
        <f t="shared" si="38"/>
        <v>8</v>
      </c>
      <c r="W126" s="2">
        <f t="shared" si="38"/>
        <v>8</v>
      </c>
      <c r="X126" s="2">
        <f t="shared" si="38"/>
        <v>6</v>
      </c>
      <c r="Y126" s="2">
        <f t="shared" si="38"/>
        <v>7</v>
      </c>
      <c r="Z126" s="2">
        <f t="shared" si="38"/>
        <v>7</v>
      </c>
      <c r="AA126" s="2">
        <f t="shared" si="38"/>
        <v>5</v>
      </c>
      <c r="AB126" s="2">
        <f t="shared" si="38"/>
        <v>3</v>
      </c>
      <c r="AC126" s="2">
        <f t="shared" si="38"/>
        <v>7</v>
      </c>
      <c r="AD126" s="2">
        <f t="shared" si="38"/>
        <v>8</v>
      </c>
      <c r="AE126" s="2">
        <f t="shared" si="38"/>
        <v>7</v>
      </c>
      <c r="AF126" s="2">
        <f t="shared" si="38"/>
        <v>8</v>
      </c>
      <c r="AG126" s="2">
        <f t="shared" si="38"/>
        <v>3</v>
      </c>
      <c r="AH126" s="2">
        <f t="shared" si="38"/>
        <v>8</v>
      </c>
      <c r="AI126" s="2">
        <f t="shared" si="38"/>
        <v>3</v>
      </c>
      <c r="AJ126" s="10"/>
    </row>
    <row r="127" spans="1:36" x14ac:dyDescent="0.25">
      <c r="A127" s="41" t="s">
        <v>53</v>
      </c>
      <c r="B127" s="1" t="s">
        <v>55</v>
      </c>
      <c r="C127" s="2">
        <f>C125/$B$28</f>
        <v>3</v>
      </c>
      <c r="D127" s="2">
        <f t="shared" ref="D127:AI127" si="39">D125/$B$28</f>
        <v>6</v>
      </c>
      <c r="E127" s="2">
        <f t="shared" si="39"/>
        <v>6</v>
      </c>
      <c r="F127" s="2">
        <f t="shared" si="39"/>
        <v>6</v>
      </c>
      <c r="G127" s="2">
        <f t="shared" si="39"/>
        <v>9</v>
      </c>
      <c r="H127" s="2">
        <f t="shared" si="39"/>
        <v>9</v>
      </c>
      <c r="I127" s="2">
        <f t="shared" si="39"/>
        <v>9</v>
      </c>
      <c r="J127" s="2">
        <f t="shared" si="39"/>
        <v>9</v>
      </c>
      <c r="K127" s="2">
        <f t="shared" si="39"/>
        <v>6</v>
      </c>
      <c r="L127" s="2">
        <f t="shared" si="39"/>
        <v>6</v>
      </c>
      <c r="M127" s="2">
        <f t="shared" si="39"/>
        <v>9</v>
      </c>
      <c r="N127" s="2">
        <f t="shared" si="39"/>
        <v>6</v>
      </c>
      <c r="O127" s="2">
        <f t="shared" si="39"/>
        <v>6</v>
      </c>
      <c r="P127" s="2">
        <f t="shared" si="39"/>
        <v>9</v>
      </c>
      <c r="Q127" s="2">
        <f t="shared" si="39"/>
        <v>9</v>
      </c>
      <c r="R127" s="2">
        <f t="shared" si="39"/>
        <v>9</v>
      </c>
      <c r="S127" s="2">
        <f t="shared" si="39"/>
        <v>9</v>
      </c>
      <c r="T127" s="2">
        <f t="shared" si="39"/>
        <v>3</v>
      </c>
      <c r="U127" s="2">
        <f t="shared" si="39"/>
        <v>9</v>
      </c>
      <c r="V127" s="2">
        <f t="shared" si="39"/>
        <v>12</v>
      </c>
      <c r="W127" s="2">
        <f t="shared" si="39"/>
        <v>12</v>
      </c>
      <c r="X127" s="2">
        <f t="shared" si="39"/>
        <v>9</v>
      </c>
      <c r="Y127" s="2">
        <f t="shared" si="39"/>
        <v>9</v>
      </c>
      <c r="Z127" s="2">
        <f t="shared" si="39"/>
        <v>9</v>
      </c>
      <c r="AA127" s="2">
        <f t="shared" si="39"/>
        <v>9</v>
      </c>
      <c r="AB127" s="2">
        <f t="shared" si="39"/>
        <v>0</v>
      </c>
      <c r="AC127" s="2">
        <f t="shared" si="39"/>
        <v>9</v>
      </c>
      <c r="AD127" s="2">
        <f t="shared" si="39"/>
        <v>12</v>
      </c>
      <c r="AE127" s="2">
        <f t="shared" si="39"/>
        <v>9</v>
      </c>
      <c r="AF127" s="2">
        <f t="shared" si="39"/>
        <v>12</v>
      </c>
      <c r="AG127" s="2">
        <f t="shared" si="39"/>
        <v>6</v>
      </c>
      <c r="AH127" s="2">
        <f t="shared" si="39"/>
        <v>12</v>
      </c>
      <c r="AI127" s="2">
        <f t="shared" si="39"/>
        <v>9</v>
      </c>
      <c r="AJ127" s="2">
        <f>C127*D127*E127*F127*G127*H127*I127*J127*K127*L127*M127*N127*O127*P127*Q127*R127*S127*T127*U127*V127*W127*X127*Y127*Z127*AA127*AB127*AC127*AD127*AE127*AF127*AG127*AH127*AI127</f>
        <v>0</v>
      </c>
    </row>
    <row r="128" spans="1:36" x14ac:dyDescent="0.25">
      <c r="A128" s="41"/>
      <c r="B128" s="1" t="s">
        <v>42</v>
      </c>
      <c r="C128" s="2">
        <f>C126/$C$28</f>
        <v>1.5</v>
      </c>
      <c r="D128" s="2">
        <f t="shared" ref="D128:AI128" si="40">D126/$C$28</f>
        <v>6</v>
      </c>
      <c r="E128" s="2">
        <f t="shared" si="40"/>
        <v>4.5</v>
      </c>
      <c r="F128" s="2">
        <f t="shared" si="40"/>
        <v>3</v>
      </c>
      <c r="G128" s="2">
        <f t="shared" si="40"/>
        <v>4.5</v>
      </c>
      <c r="H128" s="2">
        <f t="shared" si="40"/>
        <v>7.5</v>
      </c>
      <c r="I128" s="2">
        <f t="shared" si="40"/>
        <v>9</v>
      </c>
      <c r="J128" s="2">
        <f t="shared" si="40"/>
        <v>7.5</v>
      </c>
      <c r="K128" s="2">
        <f t="shared" si="40"/>
        <v>3</v>
      </c>
      <c r="L128" s="2">
        <f t="shared" si="40"/>
        <v>7.5</v>
      </c>
      <c r="M128" s="2">
        <f t="shared" si="40"/>
        <v>9</v>
      </c>
      <c r="N128" s="2">
        <f t="shared" si="40"/>
        <v>6</v>
      </c>
      <c r="O128" s="2">
        <f t="shared" si="40"/>
        <v>7.5</v>
      </c>
      <c r="P128" s="2">
        <f t="shared" si="40"/>
        <v>9</v>
      </c>
      <c r="Q128" s="2">
        <f t="shared" si="40"/>
        <v>9</v>
      </c>
      <c r="R128" s="2">
        <f t="shared" si="40"/>
        <v>9</v>
      </c>
      <c r="S128" s="2">
        <f t="shared" si="40"/>
        <v>9</v>
      </c>
      <c r="T128" s="2">
        <f t="shared" si="40"/>
        <v>4.5</v>
      </c>
      <c r="U128" s="2">
        <f t="shared" si="40"/>
        <v>10.5</v>
      </c>
      <c r="V128" s="2">
        <f t="shared" si="40"/>
        <v>12</v>
      </c>
      <c r="W128" s="2">
        <f t="shared" si="40"/>
        <v>12</v>
      </c>
      <c r="X128" s="2">
        <f t="shared" si="40"/>
        <v>9</v>
      </c>
      <c r="Y128" s="2">
        <f t="shared" si="40"/>
        <v>10.5</v>
      </c>
      <c r="Z128" s="2">
        <f t="shared" si="40"/>
        <v>10.5</v>
      </c>
      <c r="AA128" s="2">
        <f t="shared" si="40"/>
        <v>7.5</v>
      </c>
      <c r="AB128" s="2">
        <f t="shared" si="40"/>
        <v>4.5</v>
      </c>
      <c r="AC128" s="2">
        <f t="shared" si="40"/>
        <v>10.5</v>
      </c>
      <c r="AD128" s="2">
        <f t="shared" si="40"/>
        <v>12</v>
      </c>
      <c r="AE128" s="2">
        <f t="shared" si="40"/>
        <v>10.5</v>
      </c>
      <c r="AF128" s="2">
        <f t="shared" si="40"/>
        <v>12</v>
      </c>
      <c r="AG128" s="2">
        <f t="shared" si="40"/>
        <v>4.5</v>
      </c>
      <c r="AH128" s="2">
        <f>AH126/$C$28</f>
        <v>12</v>
      </c>
      <c r="AI128" s="2">
        <f t="shared" si="40"/>
        <v>4.5</v>
      </c>
      <c r="AJ128" s="2">
        <f>C128*D128*E128*F128*G128*H128*I128*J128*K128*L128*M128*N128*O128*P128*Q128*R128*S128*T128*U128*V128*W128*X128*Y128*Z128*AA128*AB128*AC128*AD128*AE128*AF128*AG128*AH128*AI128</f>
        <v>1.4546816501660116E+28</v>
      </c>
    </row>
    <row r="129" spans="1:36" x14ac:dyDescent="0.25">
      <c r="A129" s="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10"/>
    </row>
    <row r="130" spans="1:36" x14ac:dyDescent="0.25">
      <c r="A130" s="42" t="s">
        <v>56</v>
      </c>
      <c r="B130" s="43"/>
      <c r="C130" s="11" t="s">
        <v>57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10"/>
    </row>
    <row r="131" spans="1:36" x14ac:dyDescent="0.25">
      <c r="A131" s="12" t="s">
        <v>55</v>
      </c>
      <c r="B131" s="13">
        <f>AJ127*$B$28</f>
        <v>0</v>
      </c>
      <c r="C131" s="44" t="str">
        <f>IF(B131&gt;B132,A131, A132)</f>
        <v>No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10"/>
    </row>
    <row r="132" spans="1:36" x14ac:dyDescent="0.25">
      <c r="A132" s="12" t="s">
        <v>42</v>
      </c>
      <c r="B132" s="13">
        <f>AJ128*$C$28</f>
        <v>9.6978776677734096E+27</v>
      </c>
      <c r="C132" s="45"/>
      <c r="D132" s="10"/>
      <c r="E132" s="10"/>
      <c r="F132" s="10"/>
      <c r="G132" s="10"/>
      <c r="H132" s="10"/>
      <c r="I132" s="10"/>
      <c r="J132" s="10"/>
      <c r="K132" s="10"/>
      <c r="L132" s="1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10"/>
    </row>
    <row r="135" spans="1:36" x14ac:dyDescent="0.25">
      <c r="A135" s="48" t="s">
        <v>113</v>
      </c>
      <c r="B135" s="48"/>
      <c r="C135" s="48"/>
      <c r="D135" s="48"/>
      <c r="E135" s="48"/>
    </row>
    <row r="136" spans="1:36" x14ac:dyDescent="0.25">
      <c r="A136" s="29"/>
      <c r="B136" s="29"/>
      <c r="C136" s="29"/>
      <c r="D136" s="29"/>
      <c r="E136" s="29"/>
    </row>
    <row r="137" spans="1:36" x14ac:dyDescent="0.25">
      <c r="A137" s="47" t="s">
        <v>128</v>
      </c>
      <c r="B137" s="47"/>
      <c r="C137" s="47" t="s">
        <v>98</v>
      </c>
      <c r="D137" s="47"/>
      <c r="E137" s="49" t="s">
        <v>114</v>
      </c>
    </row>
    <row r="138" spans="1:36" x14ac:dyDescent="0.25">
      <c r="A138" s="47"/>
      <c r="B138" s="47"/>
      <c r="C138" s="31" t="s">
        <v>34</v>
      </c>
      <c r="D138" s="31" t="s">
        <v>35</v>
      </c>
      <c r="E138" s="49"/>
    </row>
    <row r="139" spans="1:36" x14ac:dyDescent="0.25">
      <c r="A139" s="47" t="s">
        <v>99</v>
      </c>
      <c r="B139" s="31" t="s">
        <v>34</v>
      </c>
      <c r="C139" s="31">
        <v>0</v>
      </c>
      <c r="D139" s="31">
        <v>1</v>
      </c>
      <c r="E139" s="32">
        <f>C139/(C139+D139)</f>
        <v>0</v>
      </c>
    </row>
    <row r="140" spans="1:36" x14ac:dyDescent="0.25">
      <c r="A140" s="47"/>
      <c r="B140" s="31" t="s">
        <v>35</v>
      </c>
      <c r="C140" s="31">
        <v>1</v>
      </c>
      <c r="D140" s="31">
        <v>6</v>
      </c>
      <c r="E140" s="32">
        <f>D140/(C140+D140)</f>
        <v>0.8571428571428571</v>
      </c>
    </row>
    <row r="141" spans="1:36" x14ac:dyDescent="0.25">
      <c r="A141" s="47" t="s">
        <v>115</v>
      </c>
      <c r="B141" s="47"/>
      <c r="C141" s="32">
        <f>C139/(C139+C140)</f>
        <v>0</v>
      </c>
      <c r="D141" s="32">
        <f>D140/(D139+D140)</f>
        <v>0.8571428571428571</v>
      </c>
      <c r="E141" s="32"/>
    </row>
    <row r="142" spans="1:36" x14ac:dyDescent="0.25">
      <c r="A142" s="29"/>
      <c r="B142" s="29"/>
      <c r="C142" s="29"/>
      <c r="D142" s="29"/>
      <c r="E142" s="29"/>
    </row>
    <row r="143" spans="1:36" x14ac:dyDescent="0.25">
      <c r="A143" s="47" t="s">
        <v>116</v>
      </c>
      <c r="B143" s="47"/>
      <c r="C143" s="47"/>
      <c r="D143" s="47"/>
      <c r="E143" s="32">
        <f>(C139+D140)/(C139+D139+C140+D140)</f>
        <v>0.75</v>
      </c>
    </row>
    <row r="144" spans="1:36" x14ac:dyDescent="0.25">
      <c r="A144" s="29"/>
      <c r="B144" s="29"/>
      <c r="C144" s="29"/>
      <c r="D144" s="29"/>
      <c r="E144" s="29"/>
    </row>
    <row r="145" spans="1:5" x14ac:dyDescent="0.25">
      <c r="A145" s="38"/>
      <c r="B145" s="38"/>
      <c r="C145" s="38"/>
      <c r="D145" s="38"/>
      <c r="E145" s="38"/>
    </row>
    <row r="146" spans="1:5" x14ac:dyDescent="0.25">
      <c r="A146" s="38"/>
      <c r="B146" s="38"/>
      <c r="C146" s="38"/>
      <c r="D146" s="38"/>
      <c r="E146" s="38"/>
    </row>
    <row r="147" spans="1:5" x14ac:dyDescent="0.25">
      <c r="A147" s="38"/>
      <c r="B147" s="38"/>
      <c r="C147" s="38"/>
      <c r="D147" s="38"/>
      <c r="E147" s="38"/>
    </row>
    <row r="148" spans="1:5" x14ac:dyDescent="0.25">
      <c r="A148" s="38"/>
      <c r="B148" s="38"/>
      <c r="C148" s="38"/>
      <c r="D148" s="38"/>
      <c r="E148" s="38"/>
    </row>
    <row r="149" spans="1:5" x14ac:dyDescent="0.25">
      <c r="A149" s="38"/>
      <c r="B149" s="38"/>
      <c r="C149" s="38"/>
      <c r="D149" s="38"/>
      <c r="E149" s="38"/>
    </row>
  </sheetData>
  <mergeCells count="56">
    <mergeCell ref="A141:B141"/>
    <mergeCell ref="A143:D143"/>
    <mergeCell ref="A135:E135"/>
    <mergeCell ref="A137:B138"/>
    <mergeCell ref="C137:D137"/>
    <mergeCell ref="E137:E138"/>
    <mergeCell ref="A139:A140"/>
    <mergeCell ref="C79:C80"/>
    <mergeCell ref="C40:C41"/>
    <mergeCell ref="A52:B52"/>
    <mergeCell ref="C53:C54"/>
    <mergeCell ref="A65:B65"/>
    <mergeCell ref="C66:C67"/>
    <mergeCell ref="A72:B72"/>
    <mergeCell ref="A73:B73"/>
    <mergeCell ref="A74:B74"/>
    <mergeCell ref="A75:A76"/>
    <mergeCell ref="A60:B60"/>
    <mergeCell ref="A61:B61"/>
    <mergeCell ref="A62:A63"/>
    <mergeCell ref="A46:B46"/>
    <mergeCell ref="A47:B47"/>
    <mergeCell ref="A48:B48"/>
    <mergeCell ref="D27:D28"/>
    <mergeCell ref="A33:B33"/>
    <mergeCell ref="A34:B34"/>
    <mergeCell ref="A35:B35"/>
    <mergeCell ref="A36:A37"/>
    <mergeCell ref="A49:A50"/>
    <mergeCell ref="A59:B59"/>
    <mergeCell ref="A39:B39"/>
    <mergeCell ref="A85:B85"/>
    <mergeCell ref="A78:B78"/>
    <mergeCell ref="A86:B86"/>
    <mergeCell ref="A87:B87"/>
    <mergeCell ref="A88:A89"/>
    <mergeCell ref="A91:B91"/>
    <mergeCell ref="C92:C93"/>
    <mergeCell ref="A98:B98"/>
    <mergeCell ref="A99:B99"/>
    <mergeCell ref="A100:B100"/>
    <mergeCell ref="A101:A102"/>
    <mergeCell ref="A104:B104"/>
    <mergeCell ref="C105:C106"/>
    <mergeCell ref="A111:B111"/>
    <mergeCell ref="A112:B112"/>
    <mergeCell ref="A113:B113"/>
    <mergeCell ref="A126:B126"/>
    <mergeCell ref="A127:A128"/>
    <mergeCell ref="A130:B130"/>
    <mergeCell ref="C131:C132"/>
    <mergeCell ref="A114:A115"/>
    <mergeCell ref="A117:B117"/>
    <mergeCell ref="C118:C119"/>
    <mergeCell ref="A124:B124"/>
    <mergeCell ref="A125:B125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H10" sqref="H10"/>
    </sheetView>
  </sheetViews>
  <sheetFormatPr defaultRowHeight="15" x14ac:dyDescent="0.25"/>
  <cols>
    <col min="4" max="4" width="13.42578125" customWidth="1"/>
    <col min="7" max="7" width="10.85546875" customWidth="1"/>
    <col min="8" max="8" width="16.28515625" customWidth="1"/>
    <col min="10" max="10" width="14.5703125" customWidth="1"/>
  </cols>
  <sheetData>
    <row r="1" spans="1:10" ht="14.45" x14ac:dyDescent="0.3">
      <c r="A1" s="12" t="s">
        <v>42</v>
      </c>
      <c r="B1" s="21" t="s">
        <v>54</v>
      </c>
      <c r="C1" s="22"/>
      <c r="D1" s="12" t="s">
        <v>58</v>
      </c>
      <c r="E1" s="12" t="s">
        <v>55</v>
      </c>
      <c r="F1" s="12" t="s">
        <v>42</v>
      </c>
      <c r="G1" s="12" t="s">
        <v>59</v>
      </c>
      <c r="H1" s="12" t="s">
        <v>60</v>
      </c>
      <c r="I1" s="12" t="s">
        <v>61</v>
      </c>
      <c r="J1" s="12" t="s">
        <v>62</v>
      </c>
    </row>
    <row r="2" spans="1:10" ht="14.45" x14ac:dyDescent="0.3">
      <c r="A2" s="12"/>
      <c r="B2" s="12" t="s">
        <v>63</v>
      </c>
      <c r="C2" s="12" t="s">
        <v>64</v>
      </c>
      <c r="D2" s="12">
        <v>10</v>
      </c>
      <c r="E2" s="12">
        <f>COUNTIF(NORMALISASI!A2:A11,"YES")</f>
        <v>2</v>
      </c>
      <c r="F2" s="12">
        <f>COUNTIF(NORMALISASI!A2:A11,"NO")</f>
        <v>8</v>
      </c>
      <c r="G2" s="12">
        <f>((-E2/D2)*IMLOG2(E2/D2)+(-F2/D2)*IMLOG2(F2/D2))</f>
        <v>0.72192809488736165</v>
      </c>
      <c r="H2" s="12"/>
      <c r="I2" s="12"/>
      <c r="J2" s="12"/>
    </row>
    <row r="3" spans="1:10" ht="14.45" x14ac:dyDescent="0.3">
      <c r="A3" s="23">
        <v>1</v>
      </c>
      <c r="B3" s="23" t="s">
        <v>67</v>
      </c>
      <c r="C3" s="12"/>
      <c r="D3" s="12"/>
      <c r="E3" s="12"/>
      <c r="F3" s="12"/>
      <c r="G3" s="12"/>
      <c r="H3" s="12">
        <f>M9</f>
        <v>0</v>
      </c>
      <c r="I3" s="12" t="e">
        <f>-((D4/D2*(IMLOG2(D4/D2)))+(D5/D2*(IMLOG2(D5/D2)))+(D7/D2*(IMLOG2(D7/D2)))+(D8/D2*(IMLOG2(D8/D2))))</f>
        <v>#NUM!</v>
      </c>
      <c r="J3" s="12" t="e">
        <f>H3/I3</f>
        <v>#NUM!</v>
      </c>
    </row>
    <row r="4" spans="1:10" ht="14.45" x14ac:dyDescent="0.3">
      <c r="A4" s="23"/>
      <c r="B4" s="23"/>
      <c r="C4" s="12">
        <v>1</v>
      </c>
      <c r="D4" s="12">
        <f>COUNTIF(CLEANING!C3:C12,"1")</f>
        <v>4</v>
      </c>
      <c r="E4" s="12">
        <f>COUNTIFS(CLEANING!C3:C12,"1",CLEANING!B3:B12,"YES")</f>
        <v>0</v>
      </c>
      <c r="F4" s="12">
        <f>COUNTIFS(CLEANING!C3:C12,"1",CLEANING!B3:B12,"No")</f>
        <v>0</v>
      </c>
      <c r="G4" s="12"/>
      <c r="H4" s="12"/>
      <c r="I4" s="12"/>
      <c r="J4" s="12"/>
    </row>
    <row r="5" spans="1:10" ht="14.45" x14ac:dyDescent="0.3">
      <c r="A5" s="23"/>
      <c r="B5" s="23"/>
      <c r="C5" s="12">
        <v>2</v>
      </c>
      <c r="D5" s="12">
        <f>COUNTIF(CLEANING!C3:C12,"2")</f>
        <v>4</v>
      </c>
      <c r="E5" s="12">
        <f>COUNTIFS(CLEANING!C3:C12,"2",CLEANING!B3:B12,"YES")</f>
        <v>0</v>
      </c>
      <c r="F5" s="12">
        <f>COUNTIFS(CLEANING!C3:C12,"2",CLEANING!B3:B12,"No")</f>
        <v>0</v>
      </c>
      <c r="G5" s="12"/>
      <c r="H5" s="12"/>
      <c r="I5" s="12"/>
      <c r="J5" s="12"/>
    </row>
    <row r="6" spans="1:10" ht="14.45" x14ac:dyDescent="0.3">
      <c r="A6" s="23"/>
      <c r="B6" s="23"/>
      <c r="C6" s="12">
        <v>3</v>
      </c>
      <c r="D6" s="12">
        <f>COUNTIF(CLEANING!C3:C12,"3")</f>
        <v>0</v>
      </c>
      <c r="E6" s="12">
        <f>COUNTIFS(CLEANING!C3:C12,"3",CLEANING!B3:B12,"YES")</f>
        <v>0</v>
      </c>
      <c r="F6" s="12">
        <f>COUNTIFS(CLEANING!C3:C12,"3",CLEANING!B3:B12,"No")</f>
        <v>0</v>
      </c>
      <c r="G6" s="12"/>
      <c r="H6" s="12"/>
      <c r="I6" s="12"/>
      <c r="J6" s="12"/>
    </row>
    <row r="7" spans="1:10" ht="14.45" x14ac:dyDescent="0.3">
      <c r="A7" s="23"/>
      <c r="B7" s="23"/>
      <c r="C7" s="12">
        <v>4</v>
      </c>
      <c r="D7" s="12">
        <f>COUNTIF(CLEANING!C3:C12,"4")</f>
        <v>0</v>
      </c>
      <c r="E7" s="12">
        <f>COUNTIFS(CLEANING!C3:C12,"4",CLEANING!B3:B12,"YES")</f>
        <v>0</v>
      </c>
      <c r="F7" s="12">
        <f>COUNTIFS(CLEANING!C3:C12,"4",CLEANING!B3:B12,"No")</f>
        <v>0</v>
      </c>
      <c r="G7" s="12" t="e">
        <f>((-E7/D7)*IMLOG2(E7/D7)+(-F7/D7)*IMLOG2(F7/D7))</f>
        <v>#DIV/0!</v>
      </c>
      <c r="H7" s="12"/>
      <c r="I7" s="12"/>
      <c r="J7" s="12"/>
    </row>
    <row r="8" spans="1:10" ht="14.45" x14ac:dyDescent="0.3">
      <c r="A8" s="23"/>
      <c r="B8" s="23"/>
      <c r="C8" s="12">
        <v>5</v>
      </c>
      <c r="D8" s="12">
        <f>COUNTIF(CLEANING!C3:C12,"5")</f>
        <v>0</v>
      </c>
      <c r="E8" s="12">
        <f>COUNTIFS(CLEANING!C3:C12,"5",CLEANING!B3:B12,"YES")</f>
        <v>0</v>
      </c>
      <c r="F8" s="12">
        <f>COUNTIFS(CLEANING!C3:C12,"5",CLEANING!B3:B12,"No")</f>
        <v>0</v>
      </c>
      <c r="G8" s="12"/>
      <c r="H8" s="12"/>
      <c r="I8" s="12"/>
      <c r="J8" s="12"/>
    </row>
    <row r="9" spans="1:10" ht="14.45" x14ac:dyDescent="0.3">
      <c r="A9" s="23">
        <v>2</v>
      </c>
      <c r="B9" s="23" t="s">
        <v>65</v>
      </c>
      <c r="C9" s="12"/>
      <c r="D9" s="12"/>
      <c r="E9" s="12"/>
      <c r="F9" s="12"/>
      <c r="G9" s="12"/>
      <c r="H9" s="12" t="e">
        <f>(G2)-((D10/D2)*G10)-((D11/D2)*G11)</f>
        <v>#NUM!</v>
      </c>
      <c r="I9" s="12">
        <f>-((D10/D2*(IMLOG2(D10/D2)))+(D11/D2*(IMLOG2(D11/D2))))</f>
        <v>0.77863215415975251</v>
      </c>
      <c r="J9" s="12" t="e">
        <f>H9/I9</f>
        <v>#NUM!</v>
      </c>
    </row>
    <row r="10" spans="1:10" ht="14.45" x14ac:dyDescent="0.3">
      <c r="A10" s="23"/>
      <c r="B10" s="23"/>
      <c r="C10" s="12">
        <v>1</v>
      </c>
      <c r="D10" s="12">
        <f>COUNTIF(CLEANING!D3:D12,"1")</f>
        <v>3</v>
      </c>
      <c r="E10" s="12">
        <f>COUNTIFS(CLEANING!D3:D12,"1",CLEANING!B3:B12,"YES")</f>
        <v>0</v>
      </c>
      <c r="F10" s="12">
        <f>COUNTIFS(CLEANING!D3:D12,"1",CLEANING!B3:B12,"No")</f>
        <v>0</v>
      </c>
      <c r="G10" s="12" t="e">
        <f>((-E10/D10)*IMLOG2(E10/D10)+(-F10/D10)*IMLOG2(F10/D10))</f>
        <v>#NUM!</v>
      </c>
      <c r="H10" s="12"/>
      <c r="I10" s="12"/>
      <c r="J10" s="12"/>
    </row>
    <row r="11" spans="1:10" ht="14.45" x14ac:dyDescent="0.3">
      <c r="A11" s="23"/>
      <c r="B11" s="23"/>
      <c r="C11" s="12">
        <v>2</v>
      </c>
      <c r="D11" s="12">
        <v>8</v>
      </c>
      <c r="E11" s="12">
        <f>COUNTIFS(CLEANING!D3:D12,"2",CLEANING!B3:B12,"YES")</f>
        <v>0</v>
      </c>
      <c r="F11" s="12">
        <v>7</v>
      </c>
      <c r="G11" s="12" t="e">
        <f>((-E11/D11)*IMLOG2(E11/D11)+(-F11/D11)*IMLOG2(F11/D11))</f>
        <v>#NUM!</v>
      </c>
      <c r="H11" s="12"/>
      <c r="I11" s="12"/>
      <c r="J11" s="12"/>
    </row>
    <row r="12" spans="1:10" ht="14.45" x14ac:dyDescent="0.3">
      <c r="A12" s="23"/>
      <c r="B12" s="23"/>
      <c r="C12" s="12">
        <v>3</v>
      </c>
      <c r="D12" s="12">
        <f>COUNTIF(CLEANING!D3:D12,"3")</f>
        <v>0</v>
      </c>
      <c r="E12" s="12">
        <f>COUNTIFS(CLEANING!D3:D12,"3",CLEANING!B3:B12,"YES")</f>
        <v>0</v>
      </c>
      <c r="F12" s="12">
        <f>COUNTIFS(CLEANING!D3:D12,"3",CLEANING!B3:B12,"No")</f>
        <v>0</v>
      </c>
      <c r="G12" s="12"/>
      <c r="H12" s="12"/>
      <c r="I12" s="12"/>
      <c r="J12" s="12"/>
    </row>
    <row r="13" spans="1:10" ht="14.45" x14ac:dyDescent="0.3">
      <c r="A13" s="23"/>
      <c r="B13" s="23"/>
      <c r="C13" s="12">
        <v>4</v>
      </c>
      <c r="D13" s="12">
        <f>COUNTIF(CLEANING!D3:D12,"4")</f>
        <v>1</v>
      </c>
      <c r="E13" s="12">
        <f>COUNTIFS(CLEANING!D3:D12,"4",CLEANING!B3:B12,"YES")</f>
        <v>0</v>
      </c>
      <c r="F13" s="12">
        <f>COUNTIFS(CLEANING!D3:D12,"4",CLEANING!B3:B12,"No")</f>
        <v>0</v>
      </c>
      <c r="G13" s="12"/>
      <c r="H13" s="12"/>
      <c r="I13" s="12"/>
      <c r="J13" s="12"/>
    </row>
    <row r="14" spans="1:10" ht="14.45" x14ac:dyDescent="0.3">
      <c r="A14" s="23"/>
      <c r="B14" s="23"/>
      <c r="C14" s="12">
        <v>5</v>
      </c>
      <c r="D14" s="12">
        <f>COUNTIF(CLEANING!D3:D12,"5")</f>
        <v>0</v>
      </c>
      <c r="E14" s="12">
        <f>COUNTIFS(CLEANING!D3:D12,"5",CLEANING!B3:B12,"YES")</f>
        <v>0</v>
      </c>
      <c r="F14" s="12">
        <f>COUNTIFS(CLEANING!D3:D12,"5",CLEANING!B3:B12,"No")</f>
        <v>0</v>
      </c>
      <c r="G14" s="12"/>
      <c r="H14" s="12"/>
      <c r="I14" s="12"/>
      <c r="J14" s="12"/>
    </row>
    <row r="15" spans="1:10" ht="14.45" x14ac:dyDescent="0.3">
      <c r="A15" s="23">
        <v>3</v>
      </c>
      <c r="B15" s="23" t="s">
        <v>66</v>
      </c>
      <c r="C15" s="12"/>
      <c r="D15" s="12"/>
      <c r="E15" s="12"/>
      <c r="F15" s="12"/>
      <c r="G15" s="12"/>
      <c r="H15" s="12" t="e">
        <f>(G2)-((D16/D2)*G16)-((D17/D2)*G17)</f>
        <v>#DIV/0!</v>
      </c>
      <c r="I15" s="12" t="e">
        <f>-((D16/D2*(IMLOG2(D16/D2)))+(D17/D2*(IMLOG2(D17/D2))))</f>
        <v>#NUM!</v>
      </c>
      <c r="J15" s="12" t="e">
        <f>H15/I15</f>
        <v>#DIV/0!</v>
      </c>
    </row>
    <row r="16" spans="1:10" ht="14.45" x14ac:dyDescent="0.3">
      <c r="A16" s="23"/>
      <c r="B16" s="23"/>
      <c r="C16" s="12">
        <v>1</v>
      </c>
      <c r="D16" s="12">
        <f>COUNTIF(CLEANING!E3:E12,"1")</f>
        <v>0</v>
      </c>
      <c r="E16" s="12">
        <f>COUNTIFS(CLEANING!E3:E12,"1",CLEANING!B3:B12,"YES")</f>
        <v>0</v>
      </c>
      <c r="F16" s="12">
        <f>COUNTIFS(CLEANING!E3:E12,"1",CLEANING!B3:B12,"No")</f>
        <v>0</v>
      </c>
      <c r="G16" s="12" t="e">
        <f>((-E16/D16)*IMLOG2(E16/D16)+(-F16/D16)*IMLOG2(F16/D16))</f>
        <v>#DIV/0!</v>
      </c>
      <c r="H16" s="12"/>
      <c r="I16" s="12"/>
      <c r="J16" s="12"/>
    </row>
    <row r="17" spans="1:10" ht="14.45" x14ac:dyDescent="0.3">
      <c r="A17" s="23"/>
      <c r="B17" s="23"/>
      <c r="C17" s="12">
        <v>2</v>
      </c>
      <c r="D17" s="12">
        <v>8</v>
      </c>
      <c r="E17" s="12">
        <f>COUNTIFS(CLEANING!E3:E12,"2",CLEANING!B3:B12,"YES")</f>
        <v>0</v>
      </c>
      <c r="F17" s="12">
        <v>7</v>
      </c>
      <c r="G17" s="12" t="e">
        <f>((-E17/D17)*IMLOG2(E17/D17)+(-F17/D17)*IMLOG2(F17/D17))</f>
        <v>#NUM!</v>
      </c>
      <c r="H17" s="12"/>
      <c r="I17" s="12"/>
      <c r="J17" s="12"/>
    </row>
    <row r="18" spans="1:10" ht="14.45" x14ac:dyDescent="0.3">
      <c r="A18" s="23"/>
      <c r="B18" s="23"/>
      <c r="C18" s="12">
        <v>3</v>
      </c>
      <c r="D18" s="12">
        <f>COUNTIF(CLEANING!E3:E12,"3")</f>
        <v>0</v>
      </c>
      <c r="E18" s="12">
        <f>COUNTIFS(CLEANING!E3:E12,"3",CLEANING!B3:B12,"YES")</f>
        <v>0</v>
      </c>
      <c r="F18" s="12">
        <f>COUNTIFS(CLEANING!E3:E12,"3",CLEANING!B3:B12,"No")</f>
        <v>0</v>
      </c>
      <c r="G18" s="12"/>
      <c r="H18" s="12"/>
      <c r="I18" s="12"/>
      <c r="J18" s="12"/>
    </row>
    <row r="19" spans="1:10" ht="14.45" x14ac:dyDescent="0.3">
      <c r="A19" s="23"/>
      <c r="B19" s="23"/>
      <c r="C19" s="12">
        <v>4</v>
      </c>
      <c r="D19" s="12">
        <f>COUNTIF(CLEANING!E3:E12,"4")</f>
        <v>0</v>
      </c>
      <c r="E19" s="12">
        <f>COUNTIFS(CLEANING!E3:E12,"4",CLEANING!B3:B12,"YES")</f>
        <v>0</v>
      </c>
      <c r="F19" s="12">
        <f>COUNTIFS(CLEANING!E3:E12,"4",CLEANING!B3:B12,"No")</f>
        <v>0</v>
      </c>
      <c r="G19" s="12"/>
      <c r="H19" s="12"/>
      <c r="I19" s="12"/>
      <c r="J19" s="12"/>
    </row>
    <row r="20" spans="1:10" ht="14.45" x14ac:dyDescent="0.3">
      <c r="A20" s="23"/>
      <c r="B20" s="23"/>
      <c r="C20" s="12">
        <v>5</v>
      </c>
      <c r="D20" s="12">
        <f>COUNTIF(CLEANING!E3:E12,"5")</f>
        <v>0</v>
      </c>
      <c r="E20" s="12">
        <f>COUNTIFS(CLEANING!E3:E12,"5",CLEANING!B3:B12,"YES")</f>
        <v>0</v>
      </c>
      <c r="F20" s="12">
        <f>COUNTIFS(CLEANING!E3:E12,"5",CLEANING!B3:B12,"No")</f>
        <v>0</v>
      </c>
      <c r="G20" s="12"/>
      <c r="H20" s="12"/>
      <c r="I20" s="12"/>
      <c r="J20" s="12"/>
    </row>
    <row r="21" spans="1:10" ht="14.45" x14ac:dyDescent="0.3">
      <c r="A21" s="23">
        <v>4</v>
      </c>
      <c r="B21" s="23" t="s">
        <v>68</v>
      </c>
      <c r="C21" s="12"/>
      <c r="D21" s="12"/>
      <c r="E21" s="12"/>
      <c r="F21" s="12"/>
      <c r="G21" s="12"/>
      <c r="H21" s="12" t="e">
        <f>(G2)-((D27/D2)*G27)</f>
        <v>#DIV/0!</v>
      </c>
      <c r="I21" s="12" t="e">
        <f>-((D23/D2*(IMLOG2(D23/D2)))+(D26/D2*(IMLOG2(D26/D2)))+(D27/D2*(IMLOG2(D29/D2))))</f>
        <v>#NUM!</v>
      </c>
      <c r="J21" s="12" t="e">
        <f>H21/I21</f>
        <v>#DIV/0!</v>
      </c>
    </row>
    <row r="22" spans="1:10" ht="14.45" x14ac:dyDescent="0.3">
      <c r="A22" s="23"/>
      <c r="B22" s="23"/>
      <c r="C22" s="12">
        <v>1</v>
      </c>
      <c r="D22" s="12">
        <f>COUNTIF(CLEANING!F3:F12,"1")</f>
        <v>4</v>
      </c>
      <c r="E22" s="12">
        <f>COUNTIFS(CLEANING!F3:F12,"1",CLEANING!B3:B12,"YES")</f>
        <v>0</v>
      </c>
      <c r="F22" s="12">
        <f>COUNTIFS(CLEANING!F3:F12,"1",CLEANING!B3:B12,"No")</f>
        <v>0</v>
      </c>
      <c r="G22" s="12"/>
      <c r="H22" s="12"/>
      <c r="I22" s="12"/>
      <c r="J22" s="12"/>
    </row>
    <row r="23" spans="1:10" ht="14.45" x14ac:dyDescent="0.3">
      <c r="A23" s="23"/>
      <c r="B23" s="23"/>
      <c r="C23" s="12">
        <v>2</v>
      </c>
      <c r="D23" s="12">
        <f>COUNTIF(CLEANING!F3:F12,"2")</f>
        <v>0</v>
      </c>
      <c r="E23" s="12">
        <f>COUNTIFS(CLEANING!F3:F12,"2",CLEANING!B3:B12,"YES")</f>
        <v>0</v>
      </c>
      <c r="F23" s="12">
        <f>COUNTIFS(CLEANING!F3:F12,"2",CLEANING!B3:B12,"No")</f>
        <v>0</v>
      </c>
      <c r="G23" s="12"/>
      <c r="H23" s="12"/>
      <c r="I23" s="12"/>
      <c r="J23" s="12"/>
    </row>
    <row r="24" spans="1:10" ht="14.45" x14ac:dyDescent="0.3">
      <c r="A24" s="23"/>
      <c r="B24" s="23"/>
      <c r="C24" s="12">
        <v>3</v>
      </c>
      <c r="D24" s="12">
        <f>COUNTIF(CLEANING!F3:F12,"3")</f>
        <v>3</v>
      </c>
      <c r="E24" s="12">
        <f>COUNTIFS(CLEANING!F3:F12,"3",CLEANING!B3:B12,"YES")</f>
        <v>0</v>
      </c>
      <c r="F24" s="12">
        <f>COUNTIFS(CLEANING!F3:F12,"3",CLEANING!B3:B12,"No")</f>
        <v>0</v>
      </c>
      <c r="G24" s="12"/>
      <c r="H24" s="12"/>
      <c r="I24" s="12"/>
      <c r="J24" s="12"/>
    </row>
    <row r="25" spans="1:10" ht="14.45" x14ac:dyDescent="0.3">
      <c r="A25" s="23"/>
      <c r="B25" s="23"/>
      <c r="C25" s="12">
        <v>4</v>
      </c>
      <c r="D25" s="12">
        <f>COUNTIF(CLEANING!F3:F12,"4")</f>
        <v>0</v>
      </c>
      <c r="E25" s="12">
        <f>COUNTIFS(CLEANING!F3:F12,"4",CLEANING!B3:B12,"YES")</f>
        <v>0</v>
      </c>
      <c r="F25" s="12">
        <f>COUNTIFS(CLEANING!F3:F12,"4",CLEANING!B3:B12,"No")</f>
        <v>0</v>
      </c>
      <c r="G25" s="12"/>
      <c r="H25" s="12"/>
      <c r="I25" s="12"/>
      <c r="J25" s="12"/>
    </row>
    <row r="26" spans="1:10" ht="14.45" x14ac:dyDescent="0.3">
      <c r="A26" s="23"/>
      <c r="B26" s="23"/>
      <c r="C26" s="12">
        <v>5</v>
      </c>
      <c r="D26" s="12">
        <v>6</v>
      </c>
      <c r="E26" s="12">
        <f>COUNTIFS(CLEANING!F3:F12,"5",CLEANING!B3:B12,"YES")</f>
        <v>0</v>
      </c>
      <c r="F26" s="12">
        <v>6</v>
      </c>
      <c r="G26" s="12"/>
      <c r="H26" s="12"/>
      <c r="I26" s="12"/>
      <c r="J26" s="12"/>
    </row>
    <row r="27" spans="1:10" ht="14.45" x14ac:dyDescent="0.3">
      <c r="A27" s="23"/>
      <c r="B27" s="23"/>
      <c r="C27" s="12">
        <v>6</v>
      </c>
      <c r="D27" s="12">
        <f>COUNTIF(CLEANING!F3:F12,"6")</f>
        <v>0</v>
      </c>
      <c r="E27" s="12">
        <f>COUNTIFS(CLEANING!F3:F12,"6",CLEANING!B3:B12,"YES")</f>
        <v>0</v>
      </c>
      <c r="F27" s="12">
        <f>COUNTIFS(CLEANING!F3:F12,"6",CLEANING!B3:B12,"No")</f>
        <v>0</v>
      </c>
      <c r="G27" s="12" t="e">
        <f>((-E27/D27)*IMLOG2(E27/D27)+(-F27/D27)*IMLOG2(F27/D27))</f>
        <v>#DIV/0!</v>
      </c>
      <c r="H27" s="12"/>
      <c r="I27" s="12"/>
      <c r="J27" s="12"/>
    </row>
    <row r="28" spans="1:10" ht="14.45" x14ac:dyDescent="0.3">
      <c r="A28" s="23"/>
      <c r="B28" s="23"/>
      <c r="C28" s="12">
        <v>7</v>
      </c>
      <c r="D28" s="12">
        <f>COUNTIF(CLEANING!F3:F12,"7")</f>
        <v>1</v>
      </c>
      <c r="E28" s="12">
        <f>COUNTIFS(CLEANING!F3:F12,"7",CLEANING!B3:B12,"YES")</f>
        <v>0</v>
      </c>
      <c r="F28" s="12">
        <f>COUNTIFS(CLEANING!F3:F12,"7",CLEANING!B3:B12,"No")</f>
        <v>0</v>
      </c>
      <c r="G28" s="12"/>
      <c r="H28" s="12"/>
      <c r="I28" s="12"/>
      <c r="J28" s="12"/>
    </row>
    <row r="29" spans="1:10" ht="14.45" x14ac:dyDescent="0.3">
      <c r="A29" s="23"/>
      <c r="B29" s="23"/>
      <c r="C29" s="12">
        <v>8</v>
      </c>
      <c r="D29" s="12">
        <f>COUNTIF(CLEANING!F3:F12,"8")</f>
        <v>0</v>
      </c>
      <c r="E29" s="12">
        <f>COUNTIFS(CLEANING!F3:F12,"8",CLEANING!B3:B12,"YES")</f>
        <v>0</v>
      </c>
      <c r="F29" s="12">
        <f>COUNTIFS(CLEANING!F3:F12,"8",CLEANING!B3:B12,"No")</f>
        <v>0</v>
      </c>
      <c r="G29" s="12"/>
      <c r="H29" s="12"/>
      <c r="I29" s="12"/>
      <c r="J29" s="12"/>
    </row>
    <row r="30" spans="1:10" x14ac:dyDescent="0.25">
      <c r="A30" s="23"/>
      <c r="B30" s="23"/>
      <c r="C30" s="12">
        <v>9</v>
      </c>
      <c r="D30" s="12">
        <f>COUNTIF(CLEANING!F3:F12,"9")</f>
        <v>0</v>
      </c>
      <c r="E30" s="12">
        <f>COUNTIFS(CLEANING!F3:F12,"9",CLEANING!B3:B12,"YES")</f>
        <v>0</v>
      </c>
      <c r="F30" s="12">
        <f>COUNTIFS(CLEANING!F3:F12,"9",CLEANING!B3:B12,"No")</f>
        <v>0</v>
      </c>
      <c r="G30" s="12"/>
      <c r="H30" s="12"/>
      <c r="I30" s="12"/>
      <c r="J30" s="12"/>
    </row>
    <row r="31" spans="1:10" x14ac:dyDescent="0.25">
      <c r="A31" s="23"/>
      <c r="B31" s="23"/>
      <c r="C31" s="12">
        <v>10</v>
      </c>
      <c r="D31" s="12">
        <f>COUNTIF(CLEANING!F3:F12,"10")</f>
        <v>0</v>
      </c>
      <c r="E31" s="12">
        <f>COUNTIFS(CLEANING!F3:F12,"10",CLEANING!B3:B12,"YES")</f>
        <v>0</v>
      </c>
      <c r="F31" s="12">
        <f>COUNTIFS(CLEANING!F3:F12,"10",CLEANING!B3:B12,"No")</f>
        <v>0</v>
      </c>
      <c r="G31" s="12"/>
      <c r="H31" s="12"/>
      <c r="I31" s="12"/>
      <c r="J31" s="12"/>
    </row>
    <row r="32" spans="1:10" x14ac:dyDescent="0.25">
      <c r="A32" s="23">
        <v>5</v>
      </c>
      <c r="B32" s="23" t="s">
        <v>69</v>
      </c>
      <c r="C32" s="12"/>
      <c r="D32" s="12"/>
      <c r="E32" s="12"/>
      <c r="F32" s="12"/>
      <c r="G32" s="12"/>
      <c r="H32" s="12" t="e">
        <f>(G2)-((D35/D2)*G35)</f>
        <v>#DIV/0!</v>
      </c>
      <c r="I32" s="12" t="e">
        <f>-((D33/D2*(IMLOG2(D33/D2)))+(D34/D2*(IMLOG2(D35/D2))))</f>
        <v>#NUM!</v>
      </c>
      <c r="J32" s="12" t="e">
        <f>H32/I32</f>
        <v>#DIV/0!</v>
      </c>
    </row>
    <row r="33" spans="1:10" x14ac:dyDescent="0.25">
      <c r="A33" s="23"/>
      <c r="B33" s="23"/>
      <c r="C33" s="12">
        <v>1</v>
      </c>
      <c r="D33" s="12">
        <f>COUNTIF(CLEANING!G3:G12,"1")</f>
        <v>1</v>
      </c>
      <c r="E33" s="12">
        <f>COUNTIFS(CLEANING!G3:G12,"1",CLEANING!B3:B12,"YES")</f>
        <v>0</v>
      </c>
      <c r="F33" s="12">
        <f>COUNTIFS(CLEANING!G3:G12,"1",CLEANING!B3:B12,"No")</f>
        <v>0</v>
      </c>
      <c r="G33" s="12"/>
      <c r="H33" s="12"/>
      <c r="I33" s="12"/>
      <c r="J33" s="12"/>
    </row>
    <row r="34" spans="1:10" x14ac:dyDescent="0.25">
      <c r="A34" s="23"/>
      <c r="B34" s="23"/>
      <c r="C34" s="12">
        <v>2</v>
      </c>
      <c r="D34" s="12">
        <v>6</v>
      </c>
      <c r="E34" s="12">
        <f>COUNTIFS(CLEANING!G3:G12,"2",CLEANING!B3:B12,"YES")</f>
        <v>0</v>
      </c>
      <c r="F34" s="12">
        <v>6</v>
      </c>
      <c r="G34" s="12"/>
      <c r="H34" s="12"/>
      <c r="I34" s="12"/>
      <c r="J34" s="12"/>
    </row>
    <row r="35" spans="1:10" x14ac:dyDescent="0.25">
      <c r="A35" s="23"/>
      <c r="B35" s="23"/>
      <c r="C35" s="12">
        <v>3</v>
      </c>
      <c r="D35" s="12">
        <f>COUNTIF(CLEANING!G3:G12,"3")</f>
        <v>0</v>
      </c>
      <c r="E35" s="12">
        <f>COUNTIFS(CLEANING!G3:G12,"3",CLEANING!B3:B12,"YES")</f>
        <v>0</v>
      </c>
      <c r="F35" s="12">
        <f>COUNTIFS(CLEANING!G3:G12,"3",CLEANING!B3:B12,"No")</f>
        <v>0</v>
      </c>
      <c r="G35" s="12" t="e">
        <f>((-E35/D35)*IMLOG2(E35/D35)+(-F35/D35)*IMLOG2(F35/D35))</f>
        <v>#DIV/0!</v>
      </c>
      <c r="H35" s="12"/>
      <c r="I35" s="12"/>
      <c r="J35" s="12"/>
    </row>
    <row r="36" spans="1:10" x14ac:dyDescent="0.25">
      <c r="A36" s="23"/>
      <c r="B36" s="23"/>
      <c r="C36" s="12">
        <v>4</v>
      </c>
      <c r="D36" s="12">
        <f>COUNTIF(CLEANING!G3:G12,"4")</f>
        <v>0</v>
      </c>
      <c r="E36" s="12">
        <f>COUNTIFS(CLEANING!G3:G12,"4",CLEANING!B3:B12,"YES")</f>
        <v>0</v>
      </c>
      <c r="F36" s="12">
        <f>COUNTIFS(CLEANING!G3:G12,"4",CLEANING!B3:B12,"No")</f>
        <v>0</v>
      </c>
      <c r="G36" s="12"/>
      <c r="H36" s="12"/>
      <c r="I36" s="12"/>
      <c r="J36" s="12"/>
    </row>
    <row r="37" spans="1:10" x14ac:dyDescent="0.25">
      <c r="A37" s="23"/>
      <c r="B37" s="23"/>
      <c r="C37" s="12">
        <v>5</v>
      </c>
      <c r="D37" s="12">
        <f>COUNTIF(CLEANING!G3:G12,"5")</f>
        <v>0</v>
      </c>
      <c r="E37" s="12">
        <f>COUNTIFS(CLEANING!G3:G12,"5",CLEANING!B3:B12,"YES")</f>
        <v>0</v>
      </c>
      <c r="F37" s="12">
        <f>COUNTIFS(CLEANING!G3:G12,"5",CLEANING!B3:B12,"No")</f>
        <v>0</v>
      </c>
      <c r="G37" s="12"/>
      <c r="H37" s="12"/>
      <c r="I37" s="12"/>
      <c r="J37" s="12"/>
    </row>
    <row r="38" spans="1:10" x14ac:dyDescent="0.25">
      <c r="A38" s="23"/>
      <c r="B38" s="23"/>
      <c r="C38" s="12">
        <v>6</v>
      </c>
      <c r="D38" s="12">
        <f>COUNTIF(CLEANING!G3:G12,"6")</f>
        <v>0</v>
      </c>
      <c r="E38" s="12">
        <f>COUNTIFS(CLEANING!G3:G12,"6",CLEANING!B3:B12,"YES")</f>
        <v>0</v>
      </c>
      <c r="F38" s="12">
        <f>COUNTIFS(CLEANING!G3:G12,"6",CLEANING!B3:B12,"No")</f>
        <v>0</v>
      </c>
      <c r="G38" s="12"/>
      <c r="H38" s="12"/>
      <c r="I38" s="12"/>
      <c r="J38" s="12"/>
    </row>
    <row r="39" spans="1:10" x14ac:dyDescent="0.25">
      <c r="A39" s="23"/>
      <c r="B39" s="23"/>
      <c r="C39" s="12">
        <v>7</v>
      </c>
      <c r="D39" s="12">
        <f>COUNTIF(CLEANING!G3:G12,"7")</f>
        <v>0</v>
      </c>
      <c r="E39" s="12">
        <f>COUNTIFS(CLEANING!G3:G12,"7",CLEANING!B3:B12,"YES")</f>
        <v>0</v>
      </c>
      <c r="F39" s="12">
        <f>COUNTIFS(CLEANING!G3:G12,"7",CLEANING!B3:B12,"No")</f>
        <v>0</v>
      </c>
      <c r="G39" s="12"/>
      <c r="H39" s="12"/>
      <c r="I39" s="12"/>
      <c r="J39" s="12"/>
    </row>
    <row r="40" spans="1:10" x14ac:dyDescent="0.25">
      <c r="A40" s="12">
        <v>6</v>
      </c>
      <c r="B40" s="12" t="s">
        <v>70</v>
      </c>
      <c r="C40" s="12"/>
      <c r="D40" s="12"/>
      <c r="E40" s="12"/>
      <c r="F40" s="12"/>
      <c r="G40" s="12"/>
      <c r="H40" s="12"/>
      <c r="I40" s="12"/>
      <c r="J40" s="12"/>
    </row>
    <row r="41" spans="1:10" x14ac:dyDescent="0.25">
      <c r="A41" s="12"/>
      <c r="B41" s="12"/>
      <c r="C41" s="12">
        <v>1</v>
      </c>
      <c r="D41" s="12">
        <f>COUNTIF(CLEANING!H3:H12,"1")</f>
        <v>0</v>
      </c>
      <c r="E41" s="12">
        <f>COUNTIFS(CLEANING!H3:H12,"1",CLEANING!B3:B12,"YES")</f>
        <v>0</v>
      </c>
      <c r="F41" s="12">
        <f>COUNTIFS(CLEANING!H3:H12,"1",CLEANING!B3:B12,"NO")</f>
        <v>0</v>
      </c>
      <c r="G41" s="12"/>
      <c r="H41" s="12"/>
      <c r="I41" s="12"/>
      <c r="J41" s="12"/>
    </row>
    <row r="42" spans="1:10" x14ac:dyDescent="0.25">
      <c r="A42" s="12"/>
      <c r="B42" s="12"/>
      <c r="C42" s="12">
        <v>2</v>
      </c>
      <c r="D42" s="12">
        <v>10</v>
      </c>
      <c r="E42" s="12">
        <f>COUNTIFS(CLEANING!H3:H12,"2",CLEANING!B3:B12,"YES")</f>
        <v>0</v>
      </c>
      <c r="F42" s="12">
        <v>8</v>
      </c>
      <c r="G42" s="12" t="e">
        <f>((-E42/D42)*IMLOG2(E42/D42)+(-F42/D42)*IMLOG2(F42/D42))</f>
        <v>#NUM!</v>
      </c>
      <c r="H42" s="12"/>
      <c r="I42" s="12"/>
      <c r="J42" s="12"/>
    </row>
    <row r="43" spans="1:10" x14ac:dyDescent="0.25">
      <c r="A43" s="12">
        <v>7</v>
      </c>
      <c r="B43" s="12" t="s">
        <v>71</v>
      </c>
      <c r="C43" s="12"/>
      <c r="D43" s="12"/>
      <c r="E43" s="12"/>
      <c r="F43" s="12"/>
      <c r="G43" s="12"/>
      <c r="H43" s="12"/>
      <c r="I43" s="12"/>
      <c r="J43" s="12"/>
    </row>
    <row r="44" spans="1:10" x14ac:dyDescent="0.25">
      <c r="A44" s="12"/>
      <c r="B44" s="12"/>
      <c r="C44" s="12">
        <v>1</v>
      </c>
      <c r="D44" s="12">
        <f>COUNTIF(CLEANING!I3:I12,"1")</f>
        <v>1</v>
      </c>
      <c r="E44" s="12">
        <f>COUNTIFS(CLEANING!I3:I12,"1",CLEANING!B3:B12,"YES")</f>
        <v>0</v>
      </c>
      <c r="F44" s="12">
        <f>COUNTIFS(CLEANING!I3:I12,"1",CLEANING!B3:B12,"NO")</f>
        <v>0</v>
      </c>
      <c r="G44" s="12"/>
      <c r="H44" s="12"/>
      <c r="I44" s="12"/>
      <c r="J44" s="12"/>
    </row>
    <row r="45" spans="1:10" x14ac:dyDescent="0.25">
      <c r="A45" s="12"/>
      <c r="B45" s="12"/>
      <c r="C45" s="12">
        <v>2</v>
      </c>
      <c r="D45" s="12">
        <f>COUNTIF(CLEANING!I3:I12,"2")</f>
        <v>6</v>
      </c>
      <c r="E45" s="12">
        <f>COUNTIFS(CLEANING!I3:I12,"2",CLEANING!B3:B12,"YES")</f>
        <v>0</v>
      </c>
      <c r="F45" s="12">
        <f>COUNTIFS(CLEANING!I3:I12,"2",CLEANING!B3:B12,"NO")</f>
        <v>0</v>
      </c>
      <c r="G45" s="12"/>
      <c r="H45" s="12"/>
      <c r="I45" s="12"/>
      <c r="J45" s="12"/>
    </row>
    <row r="46" spans="1:10" x14ac:dyDescent="0.25">
      <c r="A46" s="12"/>
      <c r="B46" s="12"/>
      <c r="C46" s="12">
        <v>3</v>
      </c>
      <c r="D46" s="12">
        <f>COUNTIF(CLEANING!I3:I12,"3")</f>
        <v>0</v>
      </c>
      <c r="E46" s="12">
        <f>COUNTIFS(CLEANING!I3:I12,"3",CLEANING!B3:B12,"YES")</f>
        <v>0</v>
      </c>
      <c r="F46" s="12">
        <f>COUNTIFS(CLEANING!I3:I12,"3",CLEANING!B3:B12,"NO")</f>
        <v>0</v>
      </c>
      <c r="G46" s="12"/>
      <c r="H46" s="12"/>
      <c r="I46" s="12"/>
      <c r="J46" s="12"/>
    </row>
    <row r="47" spans="1:10" x14ac:dyDescent="0.25">
      <c r="A47" s="12"/>
      <c r="B47" s="12"/>
      <c r="C47" s="12">
        <v>4</v>
      </c>
      <c r="D47" s="12">
        <f>COUNTIF(CLEANING!I3:I12,"4")</f>
        <v>0</v>
      </c>
      <c r="E47" s="12">
        <f>COUNTIFS(CLEANING!I3:I12,"4",CLEANING!B3:B12,"YES")</f>
        <v>0</v>
      </c>
      <c r="F47" s="12">
        <f>COUNTIFS(CLEANING!I3:I12,"4",CLEANING!B3:B12,"NO")</f>
        <v>0</v>
      </c>
      <c r="G47" s="12"/>
      <c r="H47" s="12"/>
      <c r="I47" s="12"/>
      <c r="J47" s="12"/>
    </row>
    <row r="48" spans="1:10" x14ac:dyDescent="0.25">
      <c r="A48" s="12"/>
      <c r="B48" s="12"/>
      <c r="C48" s="12">
        <v>5</v>
      </c>
      <c r="D48" s="12">
        <f>COUNTIF(CLEANING!I3:I12,"5")</f>
        <v>0</v>
      </c>
      <c r="E48" s="12">
        <f>COUNTIFS(CLEANING!I3:I12,"5",CLEANING!B3:B12,"YES")</f>
        <v>0</v>
      </c>
      <c r="F48" s="12">
        <f>COUNTIFS(CLEANING!I3:I12,"5",CLEANING!B3:B12,"NO")</f>
        <v>0</v>
      </c>
      <c r="G48" s="12"/>
      <c r="H48" s="12"/>
      <c r="I48" s="12"/>
      <c r="J48" s="12"/>
    </row>
    <row r="49" spans="1:10" x14ac:dyDescent="0.25">
      <c r="A49" s="12"/>
      <c r="B49" s="12"/>
      <c r="C49" s="12">
        <v>6</v>
      </c>
      <c r="D49" s="12">
        <v>10</v>
      </c>
      <c r="E49" s="12">
        <f>COUNTIFS(CLEANING!I3:I12,"6",CLEANING!B3:B12,"YES")</f>
        <v>0</v>
      </c>
      <c r="F49" s="12">
        <v>8</v>
      </c>
      <c r="G49" s="12" t="e">
        <f>((-E49/D49)*IMLOG2(E49/D49)+(-F49/D49)*IMLOG2(F49/D49))</f>
        <v>#NUM!</v>
      </c>
      <c r="H49" s="12"/>
      <c r="I49" s="12"/>
      <c r="J49" s="12"/>
    </row>
    <row r="50" spans="1:10" x14ac:dyDescent="0.25">
      <c r="A50" s="12"/>
      <c r="B50" s="12"/>
      <c r="C50" s="12">
        <v>7</v>
      </c>
      <c r="D50" s="12">
        <f>COUNTIF(CLEANING!I3:I12,"7")</f>
        <v>0</v>
      </c>
      <c r="E50" s="12">
        <f>COUNTIFS(CLEANING!I3:I12,"7",CLEANING!B3:B12,"YES")</f>
        <v>0</v>
      </c>
      <c r="F50" s="12">
        <f>COUNTIFS(CLEANING!I3:I12,"7",CLEANING!B3:B12,"NO")</f>
        <v>0</v>
      </c>
      <c r="G50" s="12"/>
      <c r="H50" s="12"/>
      <c r="I50" s="12"/>
      <c r="J50" s="12"/>
    </row>
    <row r="51" spans="1:10" x14ac:dyDescent="0.25">
      <c r="A51" s="12"/>
      <c r="B51" s="12"/>
      <c r="C51" s="12">
        <v>8</v>
      </c>
      <c r="D51" s="12">
        <f>COUNTIF(CLEANING!I3:I12,"8")</f>
        <v>0</v>
      </c>
      <c r="E51" s="12">
        <f>COUNTIFS(CLEANING!I3:I12,"8",CLEANING!B3:B12,"YES")</f>
        <v>0</v>
      </c>
      <c r="F51" s="12">
        <f>COUNTIFS(CLEANING!I3:I12,"8",CLEANING!B3:B12,"NO")</f>
        <v>0</v>
      </c>
      <c r="G51" s="12"/>
      <c r="H51" s="12"/>
      <c r="I51" s="12"/>
      <c r="J51" s="12"/>
    </row>
    <row r="52" spans="1:10" x14ac:dyDescent="0.25">
      <c r="A52" s="12"/>
      <c r="B52" s="12"/>
      <c r="C52" s="12">
        <v>9</v>
      </c>
      <c r="D52" s="12">
        <f>COUNTIF(CLEANING!I3:I12,"9")</f>
        <v>0</v>
      </c>
      <c r="E52" s="12">
        <f>COUNTIFS(CLEANING!I3:I12,"9",CLEANING!B3:B12,"YES")</f>
        <v>0</v>
      </c>
      <c r="F52" s="12">
        <f>COUNTIFS(CLEANING!I3:I12,"9",CLEANING!B3:B12,"NO")</f>
        <v>0</v>
      </c>
      <c r="G52" s="12"/>
      <c r="H52" s="12"/>
      <c r="I52" s="12"/>
      <c r="J52" s="12"/>
    </row>
    <row r="53" spans="1:10" x14ac:dyDescent="0.25">
      <c r="A53" s="12"/>
      <c r="B53" s="12"/>
      <c r="C53" s="12">
        <v>10</v>
      </c>
      <c r="D53" s="12">
        <f>COUNTIF(CLEANING!I3:I12,"10")</f>
        <v>0</v>
      </c>
      <c r="E53" s="12">
        <f>COUNTIFS(CLEANING!I3:I12,"10",CLEANING!B3:B12,"YES")</f>
        <v>0</v>
      </c>
      <c r="F53" s="12">
        <f>COUNTIFS(CLEANING!I3:I12,"10",CLEANING!B3:B12,"NO")</f>
        <v>0</v>
      </c>
      <c r="G53" s="12"/>
      <c r="H53" s="12"/>
      <c r="I53" s="12"/>
      <c r="J53" s="12"/>
    </row>
    <row r="54" spans="1:10" x14ac:dyDescent="0.25">
      <c r="A54" s="12">
        <v>8</v>
      </c>
      <c r="B54" s="12" t="s">
        <v>72</v>
      </c>
      <c r="C54" s="12"/>
      <c r="D54" s="12"/>
      <c r="E54" s="12"/>
      <c r="F54" s="12"/>
      <c r="G54" s="12"/>
      <c r="H54" s="12"/>
      <c r="I54" s="12"/>
      <c r="J54" s="12"/>
    </row>
    <row r="55" spans="1:10" x14ac:dyDescent="0.25">
      <c r="A55" s="12"/>
      <c r="B55" s="12"/>
      <c r="C55" s="12">
        <v>1</v>
      </c>
      <c r="D55" s="12"/>
      <c r="E55" s="12"/>
      <c r="F55" s="12"/>
      <c r="G55" s="12"/>
      <c r="H55" s="12"/>
      <c r="I55" s="12"/>
      <c r="J55" s="12"/>
    </row>
    <row r="56" spans="1:10" x14ac:dyDescent="0.25">
      <c r="A56" s="12"/>
      <c r="B56" s="12"/>
      <c r="C56" s="12">
        <v>2</v>
      </c>
      <c r="D56" s="12"/>
      <c r="E56" s="12"/>
      <c r="F56" s="12"/>
      <c r="G56" s="12"/>
      <c r="H56" s="12"/>
      <c r="I56" s="12"/>
      <c r="J56" s="12"/>
    </row>
    <row r="57" spans="1:10" x14ac:dyDescent="0.25">
      <c r="A57" s="12">
        <v>9</v>
      </c>
      <c r="B57" s="12" t="s">
        <v>73</v>
      </c>
      <c r="C57" s="12"/>
      <c r="D57" s="12"/>
      <c r="E57" s="12"/>
      <c r="F57" s="12"/>
      <c r="G57" s="12"/>
      <c r="H57" s="12"/>
      <c r="I57" s="12"/>
      <c r="J57" s="12"/>
    </row>
    <row r="58" spans="1:10" x14ac:dyDescent="0.25">
      <c r="A58" s="12"/>
      <c r="B58" s="12"/>
      <c r="C58" s="12">
        <v>1</v>
      </c>
      <c r="D58" s="12"/>
      <c r="E58" s="12"/>
      <c r="F58" s="12"/>
      <c r="G58" s="12"/>
      <c r="H58" s="12"/>
      <c r="I58" s="12"/>
      <c r="J58" s="12"/>
    </row>
    <row r="59" spans="1:10" x14ac:dyDescent="0.25">
      <c r="A59" s="12"/>
      <c r="B59" s="12"/>
      <c r="C59" s="12">
        <v>2</v>
      </c>
      <c r="D59" s="12"/>
      <c r="E59" s="12"/>
      <c r="F59" s="12"/>
      <c r="G59" s="12"/>
      <c r="H59" s="12"/>
      <c r="I59" s="12"/>
      <c r="J59" s="12"/>
    </row>
    <row r="60" spans="1:10" x14ac:dyDescent="0.25">
      <c r="A60" s="12">
        <v>10</v>
      </c>
      <c r="B60" s="12" t="s">
        <v>74</v>
      </c>
      <c r="C60" s="12"/>
      <c r="D60" s="12"/>
      <c r="E60" s="12"/>
      <c r="F60" s="12"/>
      <c r="G60" s="12"/>
      <c r="H60" s="12"/>
      <c r="I60" s="12"/>
      <c r="J60" s="12"/>
    </row>
    <row r="61" spans="1:10" x14ac:dyDescent="0.25">
      <c r="A61" s="12"/>
      <c r="B61" s="12"/>
      <c r="C61" s="12">
        <v>1</v>
      </c>
      <c r="D61" s="12"/>
      <c r="E61" s="12"/>
      <c r="F61" s="12"/>
      <c r="G61" s="12"/>
      <c r="H61" s="12"/>
      <c r="I61" s="12"/>
      <c r="J61" s="12"/>
    </row>
    <row r="62" spans="1:10" x14ac:dyDescent="0.25">
      <c r="A62" s="12"/>
      <c r="B62" s="12"/>
      <c r="C62" s="12">
        <v>2</v>
      </c>
      <c r="D62" s="12"/>
      <c r="E62" s="12"/>
      <c r="F62" s="12"/>
      <c r="G62" s="12"/>
      <c r="H62" s="12"/>
      <c r="I62" s="12"/>
      <c r="J62" s="12"/>
    </row>
    <row r="63" spans="1:10" x14ac:dyDescent="0.25">
      <c r="A63" s="12"/>
      <c r="B63" s="12"/>
      <c r="C63" s="12">
        <v>3</v>
      </c>
      <c r="D63" s="12"/>
      <c r="E63" s="12"/>
      <c r="F63" s="12"/>
      <c r="G63" s="12"/>
      <c r="H63" s="12"/>
      <c r="I63" s="12"/>
      <c r="J63" s="12"/>
    </row>
    <row r="64" spans="1:10" x14ac:dyDescent="0.25">
      <c r="A64" s="12"/>
      <c r="B64" s="12"/>
      <c r="C64" s="12">
        <v>4</v>
      </c>
      <c r="D64" s="12"/>
      <c r="E64" s="12"/>
      <c r="F64" s="12"/>
      <c r="G64" s="12"/>
      <c r="H64" s="12"/>
      <c r="I64" s="12"/>
      <c r="J64" s="12"/>
    </row>
    <row r="65" spans="1:10" x14ac:dyDescent="0.25">
      <c r="A65" s="12"/>
      <c r="B65" s="12"/>
      <c r="C65" s="12">
        <v>5</v>
      </c>
      <c r="D65" s="12"/>
      <c r="E65" s="12"/>
      <c r="F65" s="12"/>
      <c r="G65" s="12"/>
      <c r="H65" s="12"/>
      <c r="I65" s="12"/>
      <c r="J65" s="12"/>
    </row>
    <row r="66" spans="1:10" x14ac:dyDescent="0.25">
      <c r="A66" s="12"/>
      <c r="B66" s="12"/>
      <c r="C66" s="12">
        <v>6</v>
      </c>
      <c r="D66" s="12"/>
      <c r="E66" s="12"/>
      <c r="F66" s="12"/>
      <c r="G66" s="12"/>
      <c r="H66" s="12"/>
      <c r="I66" s="12"/>
      <c r="J66" s="12"/>
    </row>
    <row r="67" spans="1:10" x14ac:dyDescent="0.25">
      <c r="A67" s="12"/>
      <c r="B67" s="12"/>
      <c r="C67" s="12">
        <v>7</v>
      </c>
      <c r="D67" s="12"/>
      <c r="E67" s="12"/>
      <c r="F67" s="12"/>
      <c r="G67" s="12"/>
      <c r="H67" s="12"/>
      <c r="I67" s="12"/>
      <c r="J67" s="12"/>
    </row>
    <row r="68" spans="1:10" x14ac:dyDescent="0.25">
      <c r="A68" s="12"/>
      <c r="B68" s="12"/>
      <c r="C68" s="12">
        <v>8</v>
      </c>
      <c r="D68" s="12"/>
      <c r="E68" s="12"/>
      <c r="F68" s="12"/>
      <c r="G68" s="12"/>
      <c r="H68" s="12"/>
      <c r="I68" s="12"/>
      <c r="J68" s="12"/>
    </row>
    <row r="69" spans="1:10" x14ac:dyDescent="0.25">
      <c r="A69" s="12"/>
      <c r="B69" s="12"/>
      <c r="C69" s="12">
        <v>9</v>
      </c>
      <c r="D69" s="12"/>
      <c r="E69" s="12"/>
      <c r="F69" s="12"/>
      <c r="G69" s="12"/>
      <c r="H69" s="12"/>
      <c r="I69" s="12"/>
      <c r="J69" s="12"/>
    </row>
    <row r="70" spans="1:10" x14ac:dyDescent="0.25">
      <c r="A70" s="12"/>
      <c r="B70" s="12"/>
      <c r="C70" s="12">
        <v>10</v>
      </c>
      <c r="D70" s="12"/>
      <c r="E70" s="12"/>
      <c r="F70" s="12"/>
      <c r="G70" s="12"/>
      <c r="H70" s="12"/>
      <c r="I70" s="12"/>
      <c r="J70" s="12"/>
    </row>
    <row r="71" spans="1:10" x14ac:dyDescent="0.25">
      <c r="A71" s="12"/>
      <c r="B71" s="12"/>
      <c r="C71" s="12">
        <v>11</v>
      </c>
      <c r="D71" s="12"/>
      <c r="E71" s="12"/>
      <c r="F71" s="12"/>
      <c r="G71" s="12"/>
      <c r="H71" s="12"/>
      <c r="I71" s="12"/>
      <c r="J71" s="12"/>
    </row>
    <row r="72" spans="1:10" x14ac:dyDescent="0.25">
      <c r="A72" s="12"/>
      <c r="B72" s="12"/>
      <c r="C72" s="12">
        <v>12</v>
      </c>
      <c r="D72" s="12"/>
      <c r="E72" s="12"/>
      <c r="F72" s="12"/>
      <c r="G72" s="12"/>
      <c r="H72" s="12"/>
      <c r="I72" s="12"/>
      <c r="J72" s="12"/>
    </row>
    <row r="73" spans="1:10" x14ac:dyDescent="0.25">
      <c r="A73" s="12">
        <v>11</v>
      </c>
      <c r="B73" s="12" t="s">
        <v>75</v>
      </c>
      <c r="C73" s="12"/>
      <c r="D73" s="12"/>
      <c r="E73" s="12"/>
      <c r="F73" s="12"/>
      <c r="G73" s="12"/>
      <c r="H73" s="12"/>
      <c r="I73" s="12"/>
      <c r="J73" s="12"/>
    </row>
    <row r="74" spans="1:10" x14ac:dyDescent="0.25">
      <c r="A74" s="12"/>
      <c r="B74" s="12"/>
      <c r="C74" s="12">
        <v>1</v>
      </c>
      <c r="D74" s="12"/>
      <c r="E74" s="12"/>
      <c r="F74" s="12"/>
      <c r="G74" s="12"/>
      <c r="H74" s="12"/>
      <c r="I74" s="12"/>
      <c r="J74" s="12"/>
    </row>
    <row r="75" spans="1:10" x14ac:dyDescent="0.25">
      <c r="A75" s="12"/>
      <c r="B75" s="12"/>
      <c r="C75" s="12">
        <v>2</v>
      </c>
      <c r="D75" s="12"/>
      <c r="E75" s="12"/>
      <c r="F75" s="12"/>
      <c r="G75" s="12"/>
      <c r="H75" s="12"/>
      <c r="I75" s="12"/>
      <c r="J75" s="12"/>
    </row>
    <row r="76" spans="1:10" x14ac:dyDescent="0.25">
      <c r="A76" s="12"/>
      <c r="B76" s="12"/>
      <c r="C76" s="12">
        <v>3</v>
      </c>
      <c r="D76" s="12"/>
      <c r="E76" s="12"/>
      <c r="F76" s="12"/>
      <c r="G76" s="12"/>
      <c r="H76" s="12"/>
      <c r="I76" s="12"/>
      <c r="J76" s="12"/>
    </row>
    <row r="77" spans="1:10" x14ac:dyDescent="0.25">
      <c r="A77" s="12">
        <v>12</v>
      </c>
      <c r="B77" s="12" t="s">
        <v>76</v>
      </c>
      <c r="C77" s="12"/>
      <c r="D77" s="12"/>
      <c r="E77" s="12"/>
      <c r="F77" s="12"/>
      <c r="G77" s="12"/>
      <c r="H77" s="12"/>
      <c r="I77" s="12"/>
      <c r="J77" s="12"/>
    </row>
    <row r="78" spans="1:10" x14ac:dyDescent="0.25">
      <c r="A78" s="12"/>
      <c r="B78" s="12"/>
      <c r="C78" s="12">
        <v>1</v>
      </c>
      <c r="D78" s="12"/>
      <c r="E78" s="12"/>
      <c r="F78" s="12"/>
      <c r="G78" s="12"/>
      <c r="H78" s="12"/>
      <c r="I78" s="12"/>
      <c r="J78" s="12"/>
    </row>
    <row r="79" spans="1:10" x14ac:dyDescent="0.25">
      <c r="A79" s="12"/>
      <c r="B79" s="12"/>
      <c r="C79" s="12">
        <v>2</v>
      </c>
      <c r="D79" s="12"/>
      <c r="E79" s="12"/>
      <c r="F79" s="12"/>
      <c r="G79" s="12"/>
      <c r="H79" s="12"/>
      <c r="I79" s="12"/>
      <c r="J79" s="12"/>
    </row>
    <row r="80" spans="1:10" x14ac:dyDescent="0.25">
      <c r="A80" s="12"/>
      <c r="B80" s="12"/>
      <c r="C80" s="12">
        <v>3</v>
      </c>
      <c r="D80" s="12"/>
      <c r="E80" s="12"/>
      <c r="F80" s="12"/>
      <c r="G80" s="12"/>
      <c r="H80" s="12"/>
      <c r="I80" s="12"/>
      <c r="J80" s="12"/>
    </row>
    <row r="81" spans="1:10" x14ac:dyDescent="0.25">
      <c r="A81" s="12"/>
      <c r="B81" s="12"/>
      <c r="C81" s="12">
        <v>4</v>
      </c>
      <c r="D81" s="12"/>
      <c r="E81" s="12"/>
      <c r="F81" s="12"/>
      <c r="G81" s="12"/>
      <c r="H81" s="12"/>
      <c r="I81" s="12"/>
      <c r="J81" s="12"/>
    </row>
    <row r="82" spans="1:10" x14ac:dyDescent="0.25">
      <c r="A82" s="12"/>
      <c r="B82" s="12"/>
      <c r="C82" s="12">
        <v>5</v>
      </c>
      <c r="D82" s="12"/>
      <c r="E82" s="12"/>
      <c r="F82" s="12"/>
      <c r="G82" s="12"/>
      <c r="H82" s="12"/>
      <c r="I82" s="12"/>
      <c r="J82" s="12"/>
    </row>
    <row r="83" spans="1:10" x14ac:dyDescent="0.25">
      <c r="A83" s="12"/>
      <c r="B83" s="12"/>
      <c r="C83" s="12">
        <v>6</v>
      </c>
      <c r="D83" s="12"/>
      <c r="E83" s="12"/>
      <c r="F83" s="12"/>
      <c r="G83" s="12"/>
      <c r="H83" s="12"/>
      <c r="I83" s="12"/>
      <c r="J83" s="12"/>
    </row>
    <row r="84" spans="1:10" x14ac:dyDescent="0.25">
      <c r="A84" s="12">
        <v>13</v>
      </c>
      <c r="B84" s="12" t="s">
        <v>77</v>
      </c>
      <c r="C84" s="12"/>
      <c r="D84" s="12"/>
      <c r="E84" s="12"/>
      <c r="F84" s="12"/>
      <c r="G84" s="12"/>
      <c r="H84" s="12"/>
      <c r="I84" s="12"/>
      <c r="J84" s="12"/>
    </row>
    <row r="85" spans="1:10" x14ac:dyDescent="0.25">
      <c r="A85" s="12"/>
      <c r="B85" s="12"/>
      <c r="C85" s="12">
        <v>1</v>
      </c>
      <c r="D85" s="12"/>
      <c r="E85" s="12"/>
      <c r="F85" s="12"/>
      <c r="G85" s="12"/>
      <c r="H85" s="12"/>
      <c r="I85" s="12"/>
      <c r="J85" s="12"/>
    </row>
    <row r="86" spans="1:10" x14ac:dyDescent="0.25">
      <c r="A86" s="12"/>
      <c r="B86" s="12"/>
      <c r="C86" s="12">
        <v>2</v>
      </c>
      <c r="D86" s="12"/>
      <c r="E86" s="12"/>
      <c r="F86" s="12"/>
      <c r="G86" s="12"/>
      <c r="H86" s="12"/>
      <c r="I86" s="12"/>
      <c r="J86" s="12"/>
    </row>
    <row r="87" spans="1:10" x14ac:dyDescent="0.25">
      <c r="A87" s="12"/>
      <c r="B87" s="12"/>
      <c r="C87" s="12">
        <v>3</v>
      </c>
      <c r="D87" s="12"/>
      <c r="E87" s="12"/>
      <c r="F87" s="12"/>
      <c r="G87" s="12"/>
      <c r="H87" s="12"/>
      <c r="I87" s="12"/>
      <c r="J87" s="12"/>
    </row>
    <row r="88" spans="1:10" x14ac:dyDescent="0.25">
      <c r="A88" s="12"/>
      <c r="B88" s="12"/>
      <c r="C88" s="12">
        <v>4</v>
      </c>
      <c r="D88" s="12"/>
      <c r="E88" s="12"/>
      <c r="F88" s="12"/>
      <c r="G88" s="12"/>
      <c r="H88" s="12"/>
      <c r="I88" s="12"/>
      <c r="J88" s="12"/>
    </row>
    <row r="89" spans="1:10" x14ac:dyDescent="0.25">
      <c r="A89" s="12"/>
      <c r="B89" s="12"/>
      <c r="C89" s="12">
        <v>5</v>
      </c>
      <c r="D89" s="12"/>
      <c r="E89" s="12"/>
      <c r="F89" s="12"/>
      <c r="G89" s="12"/>
      <c r="H89" s="12"/>
      <c r="I89" s="12"/>
      <c r="J89" s="12"/>
    </row>
    <row r="90" spans="1:10" x14ac:dyDescent="0.25">
      <c r="A90" s="12"/>
      <c r="B90" s="12"/>
      <c r="C90" s="12">
        <v>6</v>
      </c>
      <c r="D90" s="12"/>
      <c r="E90" s="12"/>
      <c r="F90" s="12"/>
      <c r="G90" s="12"/>
      <c r="H90" s="12"/>
      <c r="I90" s="12"/>
      <c r="J90" s="12"/>
    </row>
    <row r="91" spans="1:10" x14ac:dyDescent="0.25">
      <c r="A91" s="12"/>
      <c r="B91" s="12"/>
      <c r="C91" s="12">
        <v>7</v>
      </c>
      <c r="D91" s="12"/>
      <c r="E91" s="12"/>
      <c r="F91" s="12"/>
      <c r="G91" s="12"/>
      <c r="H91" s="12"/>
      <c r="I91" s="12"/>
      <c r="J91" s="12"/>
    </row>
    <row r="92" spans="1:10" x14ac:dyDescent="0.25">
      <c r="A92" s="12"/>
      <c r="B92" s="12"/>
      <c r="C92" s="12">
        <v>8</v>
      </c>
      <c r="D92" s="12"/>
      <c r="E92" s="12"/>
      <c r="F92" s="12"/>
      <c r="G92" s="12"/>
      <c r="H92" s="12"/>
      <c r="I92" s="12"/>
      <c r="J92" s="12"/>
    </row>
    <row r="93" spans="1:10" x14ac:dyDescent="0.25">
      <c r="A93" s="12"/>
      <c r="B93" s="12"/>
      <c r="C93" s="12">
        <v>9</v>
      </c>
      <c r="D93" s="12"/>
      <c r="E93" s="12"/>
      <c r="F93" s="12"/>
      <c r="G93" s="12"/>
      <c r="H93" s="12"/>
      <c r="I93" s="12"/>
      <c r="J93" s="12"/>
    </row>
    <row r="94" spans="1:10" x14ac:dyDescent="0.25">
      <c r="A94" s="12">
        <v>14</v>
      </c>
      <c r="B94" s="12" t="s">
        <v>78</v>
      </c>
      <c r="C94" s="12"/>
      <c r="D94" s="12"/>
      <c r="E94" s="12"/>
      <c r="F94" s="12"/>
      <c r="G94" s="12"/>
      <c r="H94" s="12"/>
      <c r="I94" s="12"/>
      <c r="J94" s="12"/>
    </row>
    <row r="95" spans="1:10" x14ac:dyDescent="0.25">
      <c r="A95" s="12"/>
      <c r="B95" s="12"/>
      <c r="C95" s="12">
        <v>1</v>
      </c>
      <c r="D95" s="12"/>
      <c r="E95" s="12"/>
      <c r="F95" s="12"/>
      <c r="G95" s="12"/>
      <c r="H95" s="12"/>
      <c r="I95" s="12"/>
      <c r="J95" s="12"/>
    </row>
    <row r="96" spans="1:10" x14ac:dyDescent="0.25">
      <c r="A96" s="12"/>
      <c r="B96" s="12"/>
      <c r="C96" s="12">
        <v>2</v>
      </c>
      <c r="D96" s="12"/>
      <c r="E96" s="12"/>
      <c r="F96" s="12"/>
      <c r="G96" s="12"/>
      <c r="H96" s="12"/>
      <c r="I96" s="12"/>
      <c r="J96" s="12"/>
    </row>
    <row r="97" spans="1:10" x14ac:dyDescent="0.25">
      <c r="A97" s="12"/>
      <c r="B97" s="12"/>
      <c r="C97" s="12">
        <v>4</v>
      </c>
      <c r="D97" s="12"/>
      <c r="E97" s="12"/>
      <c r="F97" s="12"/>
      <c r="G97" s="12"/>
      <c r="H97" s="12"/>
      <c r="I97" s="12"/>
      <c r="J97" s="12"/>
    </row>
    <row r="98" spans="1:10" x14ac:dyDescent="0.25">
      <c r="A98" s="12">
        <v>15</v>
      </c>
      <c r="B98" s="12" t="s">
        <v>79</v>
      </c>
      <c r="C98" s="12"/>
      <c r="D98" s="12"/>
      <c r="E98" s="12"/>
      <c r="F98" s="12"/>
      <c r="G98" s="12"/>
      <c r="H98" s="12"/>
      <c r="I98" s="12"/>
      <c r="J98" s="12"/>
    </row>
    <row r="99" spans="1:10" x14ac:dyDescent="0.25">
      <c r="A99" s="12"/>
      <c r="B99" s="12"/>
      <c r="C99" s="12">
        <v>1</v>
      </c>
      <c r="D99" s="12"/>
      <c r="E99" s="12"/>
      <c r="F99" s="12"/>
      <c r="G99" s="12"/>
      <c r="H99" s="12"/>
      <c r="I99" s="12"/>
      <c r="J99" s="12"/>
    </row>
    <row r="100" spans="1:10" x14ac:dyDescent="0.25">
      <c r="A100" s="12"/>
      <c r="B100" s="12"/>
      <c r="C100" s="12">
        <v>2</v>
      </c>
      <c r="D100" s="12"/>
      <c r="E100" s="12"/>
      <c r="F100" s="12"/>
      <c r="G100" s="12"/>
      <c r="H100" s="12"/>
      <c r="I100" s="12"/>
      <c r="J100" s="12"/>
    </row>
    <row r="101" spans="1:10" x14ac:dyDescent="0.25">
      <c r="A101" s="12"/>
      <c r="B101" s="12"/>
      <c r="C101" s="12">
        <v>3</v>
      </c>
      <c r="D101" s="12"/>
      <c r="E101" s="12"/>
      <c r="F101" s="12"/>
      <c r="G101" s="12"/>
      <c r="H101" s="12"/>
      <c r="I101" s="12"/>
      <c r="J101" s="12"/>
    </row>
    <row r="102" spans="1:10" x14ac:dyDescent="0.25">
      <c r="A102" s="12"/>
      <c r="B102" s="12"/>
      <c r="C102" s="12">
        <v>4</v>
      </c>
      <c r="D102" s="12"/>
      <c r="E102" s="12"/>
      <c r="F102" s="12"/>
      <c r="G102" s="12"/>
      <c r="H102" s="12"/>
      <c r="I102" s="12"/>
      <c r="J102" s="12"/>
    </row>
    <row r="103" spans="1:10" x14ac:dyDescent="0.25">
      <c r="A103" s="12">
        <v>16</v>
      </c>
      <c r="B103" s="12" t="s">
        <v>80</v>
      </c>
      <c r="C103" s="12"/>
      <c r="D103" s="12"/>
      <c r="E103" s="12"/>
      <c r="F103" s="12"/>
      <c r="G103" s="12"/>
      <c r="H103" s="12"/>
      <c r="I103" s="12"/>
      <c r="J103" s="12"/>
    </row>
    <row r="104" spans="1:10" x14ac:dyDescent="0.25">
      <c r="A104" s="12"/>
      <c r="B104" s="12"/>
      <c r="C104" s="12">
        <v>1</v>
      </c>
      <c r="D104" s="12"/>
      <c r="E104" s="12"/>
      <c r="F104" s="12"/>
      <c r="G104" s="12"/>
      <c r="H104" s="12"/>
      <c r="I104" s="12"/>
      <c r="J104" s="12"/>
    </row>
    <row r="105" spans="1:10" x14ac:dyDescent="0.25">
      <c r="A105" s="12"/>
      <c r="B105" s="12"/>
      <c r="C105" s="12">
        <v>2</v>
      </c>
      <c r="D105" s="12"/>
      <c r="E105" s="12"/>
      <c r="F105" s="12"/>
      <c r="G105" s="12"/>
      <c r="H105" s="12"/>
      <c r="I105" s="12"/>
      <c r="J105" s="12"/>
    </row>
    <row r="106" spans="1:10" x14ac:dyDescent="0.25">
      <c r="A106" s="12"/>
      <c r="B106" s="12"/>
      <c r="C106" s="12">
        <v>3</v>
      </c>
      <c r="D106" s="12"/>
      <c r="E106" s="12"/>
      <c r="F106" s="12"/>
      <c r="G106" s="12"/>
      <c r="H106" s="12"/>
      <c r="I106" s="12"/>
      <c r="J106" s="12"/>
    </row>
    <row r="107" spans="1:10" x14ac:dyDescent="0.25">
      <c r="A107" s="12"/>
      <c r="B107" s="12"/>
      <c r="C107" s="12">
        <v>4</v>
      </c>
      <c r="D107" s="12"/>
      <c r="E107" s="12"/>
      <c r="F107" s="12"/>
      <c r="G107" s="12"/>
      <c r="H107" s="12"/>
      <c r="I107" s="12"/>
      <c r="J107" s="12"/>
    </row>
    <row r="108" spans="1:10" x14ac:dyDescent="0.25">
      <c r="A108" s="12"/>
      <c r="B108" s="12"/>
      <c r="C108" s="12">
        <v>5</v>
      </c>
      <c r="D108" s="12"/>
      <c r="E108" s="12"/>
      <c r="F108" s="12"/>
      <c r="G108" s="12"/>
      <c r="H108" s="12"/>
      <c r="I108" s="12"/>
      <c r="J108" s="12"/>
    </row>
    <row r="109" spans="1:10" x14ac:dyDescent="0.25">
      <c r="A109" s="12"/>
      <c r="B109" s="12"/>
      <c r="C109" s="12">
        <v>6</v>
      </c>
      <c r="D109" s="12"/>
      <c r="E109" s="12"/>
      <c r="F109" s="12"/>
      <c r="G109" s="12"/>
      <c r="H109" s="12"/>
      <c r="I109" s="12"/>
      <c r="J109" s="12"/>
    </row>
    <row r="110" spans="1:10" x14ac:dyDescent="0.25">
      <c r="A110" s="12">
        <v>17</v>
      </c>
      <c r="B110" s="12" t="s">
        <v>81</v>
      </c>
      <c r="C110" s="12"/>
      <c r="D110" s="12"/>
      <c r="E110" s="12"/>
      <c r="F110" s="12"/>
      <c r="G110" s="12"/>
      <c r="H110" s="12"/>
      <c r="I110" s="12"/>
      <c r="J110" s="12"/>
    </row>
    <row r="111" spans="1:10" x14ac:dyDescent="0.25">
      <c r="A111" s="12"/>
      <c r="B111" s="12"/>
      <c r="C111" s="12">
        <v>1</v>
      </c>
      <c r="D111" s="12"/>
      <c r="E111" s="12"/>
      <c r="F111" s="12"/>
      <c r="G111" s="12"/>
      <c r="H111" s="12"/>
      <c r="I111" s="12"/>
      <c r="J111" s="12"/>
    </row>
    <row r="112" spans="1:10" x14ac:dyDescent="0.25">
      <c r="A112" s="12"/>
      <c r="B112" s="12"/>
      <c r="C112" s="12">
        <v>2</v>
      </c>
      <c r="D112" s="12"/>
      <c r="E112" s="12"/>
      <c r="F112" s="12"/>
      <c r="G112" s="12"/>
      <c r="H112" s="12"/>
      <c r="I112" s="12"/>
      <c r="J112" s="12"/>
    </row>
    <row r="113" spans="1:10" x14ac:dyDescent="0.25">
      <c r="A113" s="12">
        <v>18</v>
      </c>
      <c r="B113" s="12" t="s">
        <v>82</v>
      </c>
      <c r="C113" s="12"/>
      <c r="D113" s="12"/>
      <c r="E113" s="12"/>
      <c r="F113" s="12"/>
      <c r="G113" s="12"/>
      <c r="H113" s="12"/>
      <c r="I113" s="12"/>
      <c r="J113" s="12"/>
    </row>
    <row r="114" spans="1:10" x14ac:dyDescent="0.25">
      <c r="A114" s="12"/>
      <c r="B114" s="12"/>
      <c r="C114" s="12">
        <v>3</v>
      </c>
      <c r="D114" s="12"/>
      <c r="E114" s="12"/>
      <c r="F114" s="12"/>
      <c r="G114" s="12"/>
      <c r="H114" s="12"/>
      <c r="I114" s="12"/>
      <c r="J114" s="12"/>
    </row>
    <row r="115" spans="1:10" x14ac:dyDescent="0.25">
      <c r="A115" s="12"/>
      <c r="B115" s="12"/>
      <c r="C115" s="12">
        <v>4</v>
      </c>
      <c r="D115" s="12"/>
      <c r="E115" s="12"/>
      <c r="F115" s="12"/>
      <c r="G115" s="12"/>
      <c r="H115" s="12"/>
      <c r="I115" s="12"/>
      <c r="J115" s="12"/>
    </row>
    <row r="116" spans="1:10" x14ac:dyDescent="0.25">
      <c r="A116" s="12">
        <v>19</v>
      </c>
      <c r="B116" s="12" t="s">
        <v>83</v>
      </c>
      <c r="C116" s="12"/>
      <c r="D116" s="12"/>
      <c r="E116" s="12"/>
      <c r="F116" s="12"/>
      <c r="G116" s="12"/>
      <c r="H116" s="12"/>
      <c r="I116" s="12"/>
      <c r="J116" s="12"/>
    </row>
    <row r="117" spans="1:10" x14ac:dyDescent="0.25">
      <c r="A117" s="12"/>
      <c r="B117" s="12"/>
      <c r="C117" s="12">
        <v>1</v>
      </c>
      <c r="D117" s="12"/>
      <c r="E117" s="12"/>
      <c r="F117" s="12"/>
      <c r="G117" s="12"/>
      <c r="H117" s="12"/>
      <c r="I117" s="12"/>
      <c r="J117" s="12"/>
    </row>
    <row r="118" spans="1:10" x14ac:dyDescent="0.25">
      <c r="A118" s="12"/>
      <c r="B118" s="12"/>
      <c r="C118" s="12">
        <v>2</v>
      </c>
      <c r="D118" s="12"/>
      <c r="E118" s="12"/>
      <c r="F118" s="12"/>
      <c r="G118" s="12"/>
      <c r="H118" s="12"/>
      <c r="I118" s="12"/>
      <c r="J118" s="12"/>
    </row>
    <row r="119" spans="1:10" x14ac:dyDescent="0.25">
      <c r="A119" s="12">
        <v>20</v>
      </c>
      <c r="B119" s="12" t="s">
        <v>84</v>
      </c>
      <c r="C119" s="12"/>
      <c r="D119" s="12"/>
      <c r="E119" s="12"/>
      <c r="F119" s="12"/>
      <c r="G119" s="12"/>
      <c r="H119" s="12"/>
      <c r="I119" s="12"/>
      <c r="J119" s="12"/>
    </row>
    <row r="120" spans="1:10" x14ac:dyDescent="0.25">
      <c r="A120" s="12"/>
      <c r="B120" s="12"/>
      <c r="C120" s="12">
        <v>3</v>
      </c>
      <c r="D120" s="12"/>
      <c r="E120" s="12"/>
      <c r="F120" s="12"/>
      <c r="G120" s="12"/>
      <c r="H120" s="12"/>
      <c r="I120" s="12"/>
      <c r="J120" s="12"/>
    </row>
    <row r="121" spans="1:10" x14ac:dyDescent="0.25">
      <c r="A121" s="12"/>
      <c r="B121" s="12"/>
      <c r="C121" s="12">
        <v>4</v>
      </c>
      <c r="D121" s="12"/>
      <c r="E121" s="12"/>
      <c r="F121" s="12"/>
      <c r="G121" s="12"/>
      <c r="H121" s="12"/>
      <c r="I121" s="12"/>
      <c r="J121" s="12"/>
    </row>
    <row r="122" spans="1:10" x14ac:dyDescent="0.25">
      <c r="A122" s="12">
        <v>21</v>
      </c>
      <c r="B122" s="12" t="s">
        <v>85</v>
      </c>
      <c r="C122" s="12"/>
      <c r="D122" s="12"/>
      <c r="E122" s="12"/>
      <c r="F122" s="12"/>
      <c r="G122" s="12"/>
      <c r="H122" s="12"/>
      <c r="I122" s="12"/>
      <c r="J122" s="12"/>
    </row>
    <row r="123" spans="1:10" x14ac:dyDescent="0.25">
      <c r="A123" s="12"/>
      <c r="B123" s="12"/>
      <c r="C123" s="12">
        <v>1</v>
      </c>
      <c r="D123" s="12"/>
      <c r="E123" s="12"/>
      <c r="F123" s="12"/>
      <c r="G123" s="12"/>
      <c r="H123" s="12"/>
      <c r="I123" s="12"/>
      <c r="J123" s="12"/>
    </row>
    <row r="124" spans="1:10" x14ac:dyDescent="0.25">
      <c r="A124" s="12"/>
      <c r="B124" s="12"/>
      <c r="C124" s="12">
        <v>2</v>
      </c>
      <c r="D124" s="12"/>
      <c r="E124" s="12"/>
      <c r="F124" s="12"/>
      <c r="G124" s="12"/>
      <c r="H124" s="12"/>
      <c r="I124" s="12"/>
      <c r="J124" s="12"/>
    </row>
    <row r="125" spans="1:10" x14ac:dyDescent="0.25">
      <c r="A125" s="12">
        <v>22</v>
      </c>
      <c r="B125" s="12" t="s">
        <v>86</v>
      </c>
      <c r="C125" s="12"/>
      <c r="D125" s="12"/>
      <c r="E125" s="12"/>
      <c r="F125" s="12"/>
      <c r="G125" s="12"/>
      <c r="H125" s="12"/>
      <c r="I125" s="12"/>
      <c r="J125" s="12"/>
    </row>
    <row r="126" spans="1:10" x14ac:dyDescent="0.25">
      <c r="A126" s="12"/>
      <c r="B126" s="12"/>
      <c r="C126" s="12">
        <v>3</v>
      </c>
      <c r="D126" s="12"/>
      <c r="E126" s="12"/>
      <c r="F126" s="12"/>
      <c r="G126" s="12"/>
      <c r="H126" s="12"/>
      <c r="I126" s="12"/>
      <c r="J126" s="12"/>
    </row>
    <row r="127" spans="1:10" x14ac:dyDescent="0.25">
      <c r="A127" s="12"/>
      <c r="B127" s="12"/>
      <c r="C127" s="12">
        <v>4</v>
      </c>
      <c r="D127" s="12"/>
      <c r="E127" s="12"/>
      <c r="F127" s="12"/>
      <c r="G127" s="12"/>
      <c r="H127" s="12"/>
      <c r="I127" s="12"/>
      <c r="J127" s="12"/>
    </row>
    <row r="128" spans="1:10" x14ac:dyDescent="0.25">
      <c r="A128" s="12">
        <v>23</v>
      </c>
      <c r="B128" s="12" t="s">
        <v>87</v>
      </c>
      <c r="C128" s="12"/>
      <c r="D128" s="12"/>
      <c r="E128" s="12"/>
      <c r="F128" s="12"/>
      <c r="G128" s="12"/>
      <c r="H128" s="12"/>
      <c r="I128" s="12"/>
      <c r="J128" s="12"/>
    </row>
    <row r="129" spans="1:10" x14ac:dyDescent="0.25">
      <c r="A129" s="12"/>
      <c r="B129" s="12"/>
      <c r="C129" s="12">
        <v>1</v>
      </c>
      <c r="D129" s="12"/>
      <c r="E129" s="12"/>
      <c r="F129" s="12"/>
      <c r="G129" s="12"/>
      <c r="H129" s="12"/>
      <c r="I129" s="12"/>
      <c r="J129" s="12"/>
    </row>
    <row r="130" spans="1:10" x14ac:dyDescent="0.25">
      <c r="A130" s="12"/>
      <c r="B130" s="12"/>
      <c r="C130" s="12">
        <v>2</v>
      </c>
      <c r="D130" s="12"/>
      <c r="E130" s="12"/>
      <c r="F130" s="12"/>
      <c r="G130" s="12"/>
      <c r="H130" s="12"/>
      <c r="I130" s="12"/>
      <c r="J130" s="12"/>
    </row>
    <row r="131" spans="1:10" x14ac:dyDescent="0.25">
      <c r="A131" s="12">
        <v>24</v>
      </c>
      <c r="B131" s="12" t="s">
        <v>88</v>
      </c>
      <c r="C131" s="12"/>
      <c r="D131" s="12"/>
      <c r="E131" s="12"/>
      <c r="F131" s="12"/>
      <c r="G131" s="12"/>
      <c r="H131" s="12"/>
      <c r="I131" s="12"/>
      <c r="J131" s="12"/>
    </row>
    <row r="132" spans="1:10" x14ac:dyDescent="0.25">
      <c r="A132" s="12"/>
      <c r="B132" s="12"/>
      <c r="C132" s="12">
        <v>3</v>
      </c>
      <c r="D132" s="12"/>
      <c r="E132" s="12"/>
      <c r="F132" s="12"/>
      <c r="G132" s="12"/>
      <c r="H132" s="12"/>
      <c r="I132" s="12"/>
      <c r="J132" s="12"/>
    </row>
    <row r="133" spans="1:10" x14ac:dyDescent="0.25">
      <c r="A133" s="12"/>
      <c r="B133" s="12"/>
      <c r="C133" s="12">
        <v>4</v>
      </c>
      <c r="D133" s="12"/>
      <c r="E133" s="12"/>
      <c r="F133" s="12"/>
      <c r="G133" s="12"/>
      <c r="H133" s="12"/>
      <c r="I133" s="12"/>
      <c r="J133" s="12"/>
    </row>
    <row r="134" spans="1:10" x14ac:dyDescent="0.25">
      <c r="A134" s="12">
        <v>25</v>
      </c>
      <c r="B134" s="12" t="s">
        <v>89</v>
      </c>
      <c r="C134" s="12"/>
      <c r="D134" s="12"/>
      <c r="E134" s="12"/>
      <c r="F134" s="12"/>
      <c r="G134" s="12"/>
      <c r="H134" s="12"/>
      <c r="I134" s="12"/>
      <c r="J134" s="12"/>
    </row>
    <row r="135" spans="1:10" x14ac:dyDescent="0.25">
      <c r="A135" s="12"/>
      <c r="B135" s="12"/>
      <c r="C135" s="12">
        <v>1</v>
      </c>
      <c r="D135" s="12"/>
      <c r="E135" s="12"/>
      <c r="F135" s="12"/>
      <c r="G135" s="12"/>
      <c r="H135" s="12"/>
      <c r="I135" s="12"/>
      <c r="J135" s="12"/>
    </row>
    <row r="136" spans="1:10" x14ac:dyDescent="0.25">
      <c r="A136" s="12"/>
      <c r="B136" s="12"/>
      <c r="C136" s="12">
        <v>2</v>
      </c>
      <c r="D136" s="12"/>
      <c r="E136" s="12"/>
      <c r="F136" s="12"/>
      <c r="G136" s="12"/>
      <c r="H136" s="12"/>
      <c r="I136" s="12"/>
      <c r="J136" s="12"/>
    </row>
    <row r="137" spans="1:10" x14ac:dyDescent="0.25">
      <c r="A137" s="12">
        <v>26</v>
      </c>
      <c r="B137" s="12" t="s">
        <v>90</v>
      </c>
      <c r="C137" s="12"/>
      <c r="D137" s="12"/>
      <c r="E137" s="12"/>
      <c r="F137" s="12"/>
      <c r="G137" s="12"/>
      <c r="H137" s="12"/>
      <c r="I137" s="12"/>
      <c r="J137" s="12"/>
    </row>
    <row r="138" spans="1:10" x14ac:dyDescent="0.25">
      <c r="A138" s="12"/>
      <c r="B138" s="12"/>
      <c r="C138" s="12">
        <v>3</v>
      </c>
      <c r="D138" s="12"/>
      <c r="E138" s="12"/>
      <c r="F138" s="12"/>
      <c r="G138" s="12"/>
      <c r="H138" s="12"/>
      <c r="I138" s="12"/>
      <c r="J138" s="12"/>
    </row>
    <row r="139" spans="1:10" x14ac:dyDescent="0.25">
      <c r="A139" s="12"/>
      <c r="B139" s="12"/>
      <c r="C139" s="12">
        <v>4</v>
      </c>
      <c r="D139" s="12"/>
      <c r="E139" s="12"/>
      <c r="F139" s="12"/>
      <c r="G139" s="12"/>
      <c r="H139" s="12"/>
      <c r="I139" s="12"/>
      <c r="J139" s="12"/>
    </row>
    <row r="140" spans="1:10" x14ac:dyDescent="0.25">
      <c r="A140" s="12">
        <v>27</v>
      </c>
      <c r="B140" s="12" t="s">
        <v>91</v>
      </c>
      <c r="C140" s="12"/>
      <c r="D140" s="12"/>
      <c r="E140" s="12"/>
      <c r="F140" s="12"/>
      <c r="G140" s="12"/>
      <c r="H140" s="12"/>
      <c r="I140" s="12"/>
      <c r="J140" s="12"/>
    </row>
    <row r="141" spans="1:10" x14ac:dyDescent="0.25">
      <c r="A141" s="12"/>
      <c r="B141" s="12"/>
      <c r="C141" s="12">
        <v>1</v>
      </c>
      <c r="D141" s="12"/>
      <c r="E141" s="12"/>
      <c r="F141" s="12"/>
      <c r="G141" s="12"/>
      <c r="H141" s="12"/>
      <c r="I141" s="12"/>
      <c r="J141" s="12"/>
    </row>
    <row r="142" spans="1:10" x14ac:dyDescent="0.25">
      <c r="A142" s="12"/>
      <c r="B142" s="12"/>
      <c r="C142" s="12">
        <v>2</v>
      </c>
      <c r="D142" s="12"/>
      <c r="E142" s="12"/>
      <c r="F142" s="12"/>
      <c r="G142" s="12"/>
      <c r="H142" s="12"/>
      <c r="I142" s="12"/>
      <c r="J142" s="12"/>
    </row>
    <row r="143" spans="1:10" x14ac:dyDescent="0.25">
      <c r="A143" s="12">
        <v>28</v>
      </c>
      <c r="B143" s="12" t="s">
        <v>92</v>
      </c>
      <c r="C143" s="12"/>
      <c r="D143" s="12"/>
      <c r="E143" s="12"/>
      <c r="F143" s="12"/>
      <c r="G143" s="12"/>
      <c r="H143" s="12"/>
      <c r="I143" s="12"/>
      <c r="J143" s="12"/>
    </row>
    <row r="144" spans="1:10" x14ac:dyDescent="0.25">
      <c r="A144" s="12"/>
      <c r="B144" s="12"/>
      <c r="C144" s="12">
        <v>3</v>
      </c>
      <c r="D144" s="12"/>
      <c r="E144" s="12"/>
      <c r="F144" s="12"/>
      <c r="G144" s="12"/>
      <c r="H144" s="12"/>
      <c r="I144" s="12"/>
      <c r="J144" s="12"/>
    </row>
    <row r="145" spans="1:10" x14ac:dyDescent="0.25">
      <c r="A145" s="12"/>
      <c r="B145" s="12"/>
      <c r="C145" s="12">
        <v>4</v>
      </c>
      <c r="D145" s="12"/>
      <c r="E145" s="12"/>
      <c r="F145" s="12"/>
      <c r="G145" s="12"/>
      <c r="H145" s="12"/>
      <c r="I145" s="12"/>
      <c r="J145" s="12"/>
    </row>
    <row r="146" spans="1:10" x14ac:dyDescent="0.25">
      <c r="A146" s="12">
        <v>29</v>
      </c>
      <c r="B146" s="12" t="s">
        <v>93</v>
      </c>
      <c r="C146" s="12"/>
      <c r="D146" s="12"/>
      <c r="E146" s="12"/>
      <c r="F146" s="12"/>
      <c r="G146" s="12"/>
      <c r="H146" s="12"/>
      <c r="I146" s="12"/>
      <c r="J146" s="12"/>
    </row>
    <row r="147" spans="1:10" x14ac:dyDescent="0.25">
      <c r="A147" s="12"/>
      <c r="B147" s="12"/>
      <c r="C147" s="12">
        <v>1</v>
      </c>
      <c r="D147" s="12"/>
      <c r="E147" s="12"/>
      <c r="F147" s="12"/>
      <c r="G147" s="12"/>
      <c r="H147" s="12"/>
      <c r="I147" s="12"/>
      <c r="J147" s="12"/>
    </row>
    <row r="148" spans="1:10" x14ac:dyDescent="0.25">
      <c r="A148" s="12"/>
      <c r="B148" s="12"/>
      <c r="C148" s="12">
        <v>2</v>
      </c>
      <c r="D148" s="12"/>
      <c r="E148" s="12"/>
      <c r="F148" s="12"/>
      <c r="G148" s="12"/>
      <c r="H148" s="12"/>
      <c r="I148" s="12"/>
      <c r="J148" s="12"/>
    </row>
    <row r="149" spans="1:10" x14ac:dyDescent="0.25">
      <c r="A149" s="12">
        <v>30</v>
      </c>
      <c r="B149" s="12" t="s">
        <v>94</v>
      </c>
      <c r="C149" s="12"/>
      <c r="D149" s="12"/>
      <c r="E149" s="12"/>
      <c r="F149" s="12"/>
      <c r="G149" s="12"/>
      <c r="H149" s="12"/>
      <c r="I149" s="12"/>
      <c r="J149" s="12"/>
    </row>
    <row r="150" spans="1:10" x14ac:dyDescent="0.25">
      <c r="A150" s="12"/>
      <c r="B150" s="12"/>
      <c r="C150" s="12">
        <v>1</v>
      </c>
      <c r="D150" s="12"/>
      <c r="E150" s="12"/>
      <c r="F150" s="12"/>
      <c r="G150" s="12"/>
      <c r="H150" s="12"/>
      <c r="I150" s="12"/>
      <c r="J150" s="12"/>
    </row>
    <row r="151" spans="1:10" x14ac:dyDescent="0.25">
      <c r="A151" s="12"/>
      <c r="B151" s="12"/>
      <c r="C151" s="12">
        <v>2</v>
      </c>
      <c r="D151" s="12"/>
      <c r="E151" s="12"/>
      <c r="F151" s="12"/>
      <c r="G151" s="12"/>
      <c r="H151" s="12"/>
      <c r="I151" s="12"/>
      <c r="J151" s="12"/>
    </row>
    <row r="152" spans="1:10" x14ac:dyDescent="0.25">
      <c r="A152" s="12">
        <v>31</v>
      </c>
      <c r="B152" s="12" t="s">
        <v>95</v>
      </c>
      <c r="C152" s="12"/>
      <c r="D152" s="12"/>
      <c r="E152" s="12"/>
      <c r="F152" s="12"/>
      <c r="G152" s="12"/>
      <c r="H152" s="12"/>
      <c r="I152" s="12"/>
      <c r="J152" s="12"/>
    </row>
    <row r="153" spans="1:10" x14ac:dyDescent="0.25">
      <c r="A153" s="12"/>
      <c r="B153" s="12"/>
      <c r="C153" s="12">
        <v>1</v>
      </c>
      <c r="D153" s="12"/>
      <c r="E153" s="12"/>
      <c r="F153" s="12"/>
      <c r="G153" s="12"/>
      <c r="H153" s="12"/>
      <c r="I153" s="12"/>
      <c r="J153" s="12"/>
    </row>
    <row r="154" spans="1:10" x14ac:dyDescent="0.25">
      <c r="A154" s="12"/>
      <c r="B154" s="12"/>
      <c r="C154" s="12">
        <v>2</v>
      </c>
      <c r="D154" s="12"/>
      <c r="E154" s="12"/>
      <c r="F154" s="12"/>
      <c r="G154" s="12"/>
      <c r="H154" s="12"/>
      <c r="I154" s="12"/>
      <c r="J154" s="12"/>
    </row>
    <row r="155" spans="1:10" x14ac:dyDescent="0.25">
      <c r="A155" s="12">
        <v>32</v>
      </c>
      <c r="B155" s="12" t="s">
        <v>96</v>
      </c>
      <c r="C155" s="12"/>
      <c r="D155" s="12"/>
      <c r="E155" s="12"/>
      <c r="F155" s="12"/>
      <c r="G155" s="12"/>
      <c r="H155" s="12"/>
      <c r="I155" s="12"/>
      <c r="J155" s="12"/>
    </row>
    <row r="156" spans="1:10" x14ac:dyDescent="0.25">
      <c r="A156" s="12"/>
      <c r="B156" s="12"/>
      <c r="C156" s="12">
        <v>3</v>
      </c>
      <c r="D156" s="12"/>
      <c r="E156" s="12"/>
      <c r="F156" s="12"/>
      <c r="G156" s="12"/>
      <c r="H156" s="12"/>
      <c r="I156" s="12"/>
      <c r="J156" s="12"/>
    </row>
    <row r="157" spans="1:10" x14ac:dyDescent="0.25">
      <c r="A157" s="12"/>
      <c r="B157" s="12"/>
      <c r="C157" s="12">
        <v>4</v>
      </c>
      <c r="D157" s="12"/>
      <c r="E157" s="12"/>
      <c r="F157" s="12"/>
      <c r="G157" s="12"/>
      <c r="H157" s="12"/>
      <c r="I157" s="12"/>
      <c r="J157" s="12"/>
    </row>
    <row r="158" spans="1:10" x14ac:dyDescent="0.25">
      <c r="A158" s="12">
        <v>33</v>
      </c>
      <c r="B158" s="12" t="s">
        <v>97</v>
      </c>
      <c r="C158" s="12"/>
      <c r="D158" s="12"/>
      <c r="E158" s="12"/>
      <c r="F158" s="12"/>
      <c r="G158" s="12"/>
      <c r="H158" s="12"/>
      <c r="I158" s="12"/>
      <c r="J158" s="12"/>
    </row>
    <row r="159" spans="1:10" x14ac:dyDescent="0.25">
      <c r="A159" s="12"/>
      <c r="B159" s="12"/>
      <c r="C159" s="12">
        <v>1</v>
      </c>
      <c r="D159" s="12"/>
      <c r="E159" s="12"/>
      <c r="F159" s="12"/>
      <c r="G159" s="12"/>
      <c r="H159" s="12"/>
      <c r="I159" s="12"/>
      <c r="J159" s="12"/>
    </row>
    <row r="160" spans="1:10" x14ac:dyDescent="0.25">
      <c r="A160" s="12"/>
      <c r="B160" s="12"/>
      <c r="C160" s="12">
        <v>2</v>
      </c>
      <c r="D160" s="12"/>
      <c r="E160" s="12"/>
      <c r="F160" s="12"/>
      <c r="G160" s="12"/>
      <c r="H160" s="12"/>
      <c r="I160" s="12"/>
      <c r="J160" s="12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0"/>
  <sheetViews>
    <sheetView topLeftCell="Z1" zoomScale="96" zoomScaleNormal="115" workbookViewId="0">
      <selection activeCell="AT21" sqref="AT21"/>
    </sheetView>
  </sheetViews>
  <sheetFormatPr defaultRowHeight="15" x14ac:dyDescent="0.25"/>
  <cols>
    <col min="1" max="33" width="6.42578125" customWidth="1"/>
    <col min="35" max="35" width="13.7109375" customWidth="1"/>
  </cols>
  <sheetData>
    <row r="1" spans="1:77" ht="14.45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98</v>
      </c>
      <c r="AJ1" s="24" t="s">
        <v>100</v>
      </c>
      <c r="AK1" s="29"/>
      <c r="AL1" s="35" t="s">
        <v>101</v>
      </c>
      <c r="AM1" s="35" t="s">
        <v>102</v>
      </c>
      <c r="AN1" s="35" t="s">
        <v>103</v>
      </c>
      <c r="AO1" s="35" t="s">
        <v>104</v>
      </c>
      <c r="AP1" s="29"/>
      <c r="AQ1" s="35" t="s">
        <v>105</v>
      </c>
      <c r="AR1" s="35" t="s">
        <v>102</v>
      </c>
      <c r="AS1" s="35" t="s">
        <v>103</v>
      </c>
      <c r="AT1" s="35" t="s">
        <v>104</v>
      </c>
      <c r="AU1" s="29"/>
      <c r="AV1" s="35" t="s">
        <v>106</v>
      </c>
      <c r="AW1" s="35" t="s">
        <v>102</v>
      </c>
      <c r="AX1" s="35" t="s">
        <v>107</v>
      </c>
      <c r="AY1" s="35" t="s">
        <v>104</v>
      </c>
      <c r="AZ1" s="29"/>
      <c r="BA1" s="35" t="s">
        <v>108</v>
      </c>
      <c r="BB1" s="35" t="s">
        <v>102</v>
      </c>
      <c r="BC1" s="35" t="s">
        <v>103</v>
      </c>
      <c r="BD1" s="35" t="s">
        <v>104</v>
      </c>
      <c r="BE1" s="29"/>
      <c r="BF1" s="35" t="s">
        <v>109</v>
      </c>
      <c r="BG1" s="35" t="s">
        <v>102</v>
      </c>
      <c r="BH1" s="35" t="s">
        <v>103</v>
      </c>
      <c r="BI1" s="35" t="s">
        <v>104</v>
      </c>
      <c r="BJ1" s="29"/>
      <c r="BK1" s="35" t="s">
        <v>110</v>
      </c>
      <c r="BL1" s="35" t="s">
        <v>102</v>
      </c>
      <c r="BM1" s="35" t="s">
        <v>103</v>
      </c>
      <c r="BN1" s="35" t="s">
        <v>104</v>
      </c>
      <c r="BO1" s="29"/>
      <c r="BP1" s="35" t="s">
        <v>111</v>
      </c>
      <c r="BQ1" s="35" t="s">
        <v>102</v>
      </c>
      <c r="BR1" s="35" t="s">
        <v>103</v>
      </c>
      <c r="BS1" s="35" t="s">
        <v>104</v>
      </c>
      <c r="BT1" s="29"/>
      <c r="BU1" s="35" t="s">
        <v>112</v>
      </c>
      <c r="BV1" s="35" t="s">
        <v>102</v>
      </c>
      <c r="BW1" s="35" t="s">
        <v>103</v>
      </c>
      <c r="BX1" s="35" t="s">
        <v>104</v>
      </c>
      <c r="BY1" s="29"/>
    </row>
    <row r="2" spans="1:77" x14ac:dyDescent="0.25">
      <c r="A2" s="25">
        <v>0.5</v>
      </c>
      <c r="B2" s="25">
        <v>0</v>
      </c>
      <c r="C2" s="25">
        <v>0</v>
      </c>
      <c r="D2" s="25">
        <v>0.7</v>
      </c>
      <c r="E2" s="25">
        <v>0</v>
      </c>
      <c r="F2" s="25">
        <v>1</v>
      </c>
      <c r="G2" s="25">
        <v>0.5</v>
      </c>
      <c r="H2" s="25">
        <v>1</v>
      </c>
      <c r="I2" s="25">
        <v>0.6</v>
      </c>
      <c r="J2" s="25">
        <v>0.3</v>
      </c>
      <c r="K2" s="25">
        <v>0</v>
      </c>
      <c r="L2" s="25">
        <v>0.2</v>
      </c>
      <c r="M2" s="25">
        <v>0.5</v>
      </c>
      <c r="N2" s="25">
        <v>0</v>
      </c>
      <c r="O2" s="25">
        <v>0</v>
      </c>
      <c r="P2" s="25">
        <v>0</v>
      </c>
      <c r="Q2" s="25">
        <v>1</v>
      </c>
      <c r="R2" s="25">
        <v>1</v>
      </c>
      <c r="S2" s="25">
        <v>1</v>
      </c>
      <c r="T2" s="25">
        <v>1</v>
      </c>
      <c r="U2" s="25">
        <v>1</v>
      </c>
      <c r="V2" s="25">
        <v>0</v>
      </c>
      <c r="W2" s="25">
        <v>1</v>
      </c>
      <c r="X2" s="25">
        <v>1</v>
      </c>
      <c r="Y2" s="25">
        <v>1</v>
      </c>
      <c r="Z2" s="25">
        <v>0</v>
      </c>
      <c r="AA2" s="25">
        <v>1</v>
      </c>
      <c r="AB2" s="25">
        <v>1</v>
      </c>
      <c r="AC2" s="25">
        <v>1</v>
      </c>
      <c r="AD2" s="25">
        <v>1</v>
      </c>
      <c r="AE2" s="25">
        <v>0</v>
      </c>
      <c r="AF2" s="25">
        <v>1</v>
      </c>
      <c r="AG2" s="25">
        <v>1</v>
      </c>
      <c r="AH2" s="25" t="s">
        <v>34</v>
      </c>
      <c r="AI2" s="53"/>
      <c r="AJ2" s="54"/>
      <c r="AK2" s="29"/>
      <c r="AL2" s="50" t="s">
        <v>34</v>
      </c>
      <c r="AM2" s="33">
        <f t="shared" ref="AM2:AM13" si="0">SQRT((A2-$A$14)^2+(B2-$B$14)^2+(C2-$C$14)^2+(D2-$D$14)^2+(E2-$E$14)^2+(F2-$F$14)^2+(G2-$G$14)^2+(H2-$H$14)^2+(I2-$I$14)^2+(J2-$J$14)^2+(K2-$K$14)^2+(L2-$L$14)^2+(M2-$M$14)^2+(N2-$N$14)^2+(O2-$O$14)^2+(P2-$P$14)^2+(Q2-$Q$14)^2+(R2-$R$14)^2+(S2-$S$14)^2+(T2-$T$14)^2+(U2-$U$14)^2+(V2-$V$14)^2+(W2-$W$14)^2+(X2-$X$14)^2+(Y2-$Y$14)^2+(Z2-$Z$14)^2+(AA2-$AA$14)^2+(AB2-$AB$14)^2+(AC2-$AC$14)^2+(AD2-$AD$14)^2+(AE2-$AE$14)^2+(AF2-$AF$14)^2+(AG2-$AG$14)^2)</f>
        <v>1.2727922061357855</v>
      </c>
      <c r="AN2" s="33" t="s">
        <v>11</v>
      </c>
      <c r="AO2" s="34" t="s">
        <v>35</v>
      </c>
      <c r="AP2" s="29"/>
      <c r="AQ2" s="50" t="s">
        <v>35</v>
      </c>
      <c r="AR2" s="33">
        <f t="shared" ref="AR2:AR13" si="1">SQRT((A2-$A$15)^2+(B2-$B$15)^2+(C2-$C$15)^2+(D2-$D$15)^2+(E2-$E$15)^2+(F2-$F$15)^2+(G2-$G$15)^2+(H2-$H$15)^2+(I2-$I$15)^2+(J2-$J$15)^2+(K2-$K$15)^2+(L2-$L$15)^2+(M2-$M$15)^2+(N2-$N$15)^2+(O2-$O$15)^2+(P2-$P$15)^2+(Q2-$Q$15)^2+(R2-$R$15)^2+(S2-$S$15)^2+(T2-$T$15)^2+(U2-$U$15)^2+(V2-$V$15)^2+(W2-$W$15)^2+(X2-$X$15)^2+(Y2-$Y$15)^2+(Z2-$Z$15)^2+(AA2-$AA$15)^2+(AB2-$AB$15)^2+(AC2-$AC$15)^2+(AD2-$AD$15)^2+(AE2-$AE$15)^2+(AF2-$AF$15)^2+(AG2-$AG$15)^2)</f>
        <v>1.1361360722533167</v>
      </c>
      <c r="AS2" s="33" t="s">
        <v>8</v>
      </c>
      <c r="AT2" s="34" t="s">
        <v>35</v>
      </c>
      <c r="AU2" s="29"/>
      <c r="AV2" s="50" t="s">
        <v>34</v>
      </c>
      <c r="AW2" s="33">
        <f t="shared" ref="AW2:AW13" si="2">SQRT((A2-$A$16)^2+(B2-$B$16)^2+(C2-$C$16)^2+(D2-$D$16)^2+(E2-$E$16)^2+(F2-$F$16)^2+(G2-$G$16)^2+(H2-$H$16)^2+(I2-$I$16)^2+(J2-$J$16)^2+(K2-$K$16)^2+(L2-$L$16)^2+(M2-$M$16)^2+(N2-$N$16)^2+(O2-$O$16)^2+(P2-$P$16)^2+(Q2-$Q$16)^2+(R2-$R$16)^2+(S2-$S$16)^2+(T2-$T$16)^2+(U2-$U$16)^2+(V2-$V$16)^2+(W2-$W$16)^2+(X2-$X$16)^2+(Y2-$Y$16)^2+(Z2-$Z$16)^2+(AA2-$AA$16)^2+(AB2-$AB$16)^2+(AC2-$AC$16)^2+(AD2-$AD$16)^2+(AE2-$AE$16)^2+(AF2-$AF$16)^2+(AG2-$AG$16)^2)</f>
        <v>1.2288205727444508</v>
      </c>
      <c r="AX2" s="33" t="s">
        <v>8</v>
      </c>
      <c r="AY2" s="34" t="s">
        <v>35</v>
      </c>
      <c r="AZ2" s="29"/>
      <c r="BA2" s="50" t="s">
        <v>35</v>
      </c>
      <c r="BB2" s="33">
        <f t="shared" ref="BB2:BB13" si="3">SQRT((A2-$A$17)^2+(B2-$B$17)^2+(C2-$C$17)^2+(D2-$D$17)^2+(E2-$E$17)^2+(F2-$F$17)^2+(G2-$G$17)^2+(H2-$H$17)^2+(I2-$I$17)^2+(J2-$J$17)^2+(K2-$K$17)^2+(L2-$L$17)^2+(M2-$M$17)^2+(N2-$N$17)^2+(O2-$O$17)^2+(P2-$P$17)^2+(Q2-$Q$17)^2+(R2-$R$17)^2+(S2-$S$17)^2+(T2-$T$17)^2+(U2-$U$17)^2+(V2-$V$17)^2+(W2-$W$17)^2+(X2-$X$17)^2+(Y2-$Y$17)^2+(Z2-$Z$17)^2+(AA2-$AA$17)^2+(AB2-$AB$17)^2+(AC2-$AC$17)^2+(AD2-$AD$17)^2+(AE2-$AE$17)^2+(AF2-$AF$17)^2+(AG2-$AG$17)^2)</f>
        <v>1.1361360722533167</v>
      </c>
      <c r="BC2" s="33" t="s">
        <v>8</v>
      </c>
      <c r="BD2" s="34" t="s">
        <v>35</v>
      </c>
      <c r="BE2" s="29"/>
      <c r="BF2" s="50" t="s">
        <v>35</v>
      </c>
      <c r="BG2" s="33">
        <f t="shared" ref="BG2:BG13" si="4">SQRT((A2-$A$18)^2+(B2-$B$18)^2+(C2-$C$18)^2+(D2-$D$18)^2+(E2-$E$18)^2+(F2-$F$18)^2+(G2-$G$18)^2+(H2-$H$18)^2+(I2-$I$18)^2+(J2-$J$18)^2+(K2-$K$18)^2+(L2-$L$18)^2+(M2-$M$18)^2+(N2-$N$18)^2+(O2-$O$18)^2+(P2-$P$18)^2+(Q2-$Q$18)^2+(R2-$R$18)^2+(S2-$S$18)^2+(T2-$T$18)^2+(U2-$U$18)^2+(V2-$V$18)^2+(W2-$W$18)^2+(X2-$X$18)^2+(Y2-$Y$18)^2+(Z2-$Z$18)^2+(AA2-$AA$18)^2+(AB2-$AB$18)^2+(AC2-$AC$18)^2+(AD2-$AD$18)^2+(AE2-$AE$18)^2+(AF2-$AF$18)^2+(AG2-$AG$18)^2)</f>
        <v>1.1361360722533167</v>
      </c>
      <c r="BH2" s="33" t="s">
        <v>8</v>
      </c>
      <c r="BI2" s="34" t="s">
        <v>35</v>
      </c>
      <c r="BJ2" s="29"/>
      <c r="BK2" s="50" t="s">
        <v>35</v>
      </c>
      <c r="BL2" s="33">
        <f t="shared" ref="BL2:BL13" si="5">SQRT((A2-$A$19)^2+(B2-$B$19)^2+(C2-$C$19)^2+(D2-$D$19)^2+(E2-$E$19)^2+(F2-$F$19)^2+(G2-$G$19)^2+(H2-$H$19)^2+(I2-$I$19)^2+(J2-$J$19)^2+(K2-$K$19)^2+(L2-$L$19)^2+(M2-$M$19)^2+(N2-$N$19)^2+(O2-$O$19)^2+(P2-$P$19)^2+(Q2-$Q$19)^2+(R2-$R$19)^2+(S2-$S$19)^2+(T2-$T$19)^2+(U2-$U$19)^2+(V2-$V$19)^2+(W2-$W$19)^2+(X2-$X$19)^2+(Y2-$Y$19)^2+(Z2-$Z$19)^2+(AA2-$AA$19)^2+(AB2-$AB$19)^2+(AC2-$AC$19)^2+(AD2-$AD$19)^2+(AE2-$AE$19)^2+(AF2-$AF$19)^2+(AG2-$AG$19)^2)</f>
        <v>1.1361360722533167</v>
      </c>
      <c r="BM2" s="33" t="s">
        <v>8</v>
      </c>
      <c r="BN2" s="34" t="s">
        <v>35</v>
      </c>
      <c r="BO2" s="29"/>
      <c r="BP2" s="50" t="s">
        <v>35</v>
      </c>
      <c r="BQ2" s="33">
        <f t="shared" ref="BQ2:BQ13" si="6">SQRT((A2-$A$20)^2+(B2-$B$20)^2+(C2-$C$20)^2+(D2-$D$20)^2+(E2-$E$20)^2+(F2-$F$20)^2+(G2-$G$20)^2+(H2-$H$20)^2+(I2-$I$20)^2+(J2-$J$20)^2+(K2-$K$20)^2+(L2-$L$20)^2+(M2-$M$20)^2+(N2-$N$20)^2+(O2-$O$20)^2+(P2-$P$20)^2+(Q2-$Q$20)^2+(R2-$R$20)^2+(S2-$S$20)^2+(T2-$T$20)^2+(U2-$U$20)^2+(V2-$V$20)^2+(W2-$W$20)^2+(X2-$X$20)^2+(Y2-$Y$20)^2+(Z2-$Z$20)^2+(AA2-$AA$20)^2+(AB2-$AB$20)^2+(AC2-$AC$20)^2+(AD2-$AD$20)^2+(AE2-$AE$20)^2+(AF2-$AF$20)^2+(AG2-$AG$20)^2)</f>
        <v>1.489966442575134</v>
      </c>
      <c r="BR2" s="33" t="s">
        <v>8</v>
      </c>
      <c r="BS2" s="34" t="s">
        <v>35</v>
      </c>
      <c r="BT2" s="29"/>
      <c r="BU2" s="50" t="s">
        <v>34</v>
      </c>
      <c r="BV2" s="33">
        <f t="shared" ref="BV2:BV13" si="7">SQRT((A2-$A$21)^2+(B2-$B$21)^2+(C2-$C$21)^2+(D2-$D$21)^2+(E2-$E$21)^2+(F2-$F$21)^2+(G2-$G$21)^2+(H2-$H$21)^2+(I2-$I$21)^2+(J2-$J$21)^2+(K2-$K$21)^2+(L2-$L$21)^2+(M2-$M$21)^2+(N2-$N$21)^2+(O2-$O$21)^2+(P2-$P$21)^2+(Q2-$Q$21)^2+(R2-$R$21)^2+(S2-$S$21)^2+(T2-$T$21)^2+(U2-$U$21)^2+(V2-$V$21)^2+(W2-$W$21)^2+(X2-$X$21)^2+(Y2-$Y$21)^2+(Z2-$Z$21)^2+(AA2-$AA$21)^2+(AB2-$AB$21)^2+(AC2-$AC$21)^2+(AD2-$AD$21)^2+(AE2-$AE$21)^2+(AF2-$AF$21)^2+(AG2-$AG$21)^2)</f>
        <v>1.0630145812734648</v>
      </c>
      <c r="BW2" s="33" t="s">
        <v>0</v>
      </c>
      <c r="BX2" s="34" t="s">
        <v>34</v>
      </c>
      <c r="BY2" s="29"/>
    </row>
    <row r="3" spans="1:77" x14ac:dyDescent="0.25">
      <c r="A3" s="25">
        <v>0.3</v>
      </c>
      <c r="B3" s="25">
        <v>0.2</v>
      </c>
      <c r="C3" s="25">
        <v>0.3</v>
      </c>
      <c r="D3" s="25">
        <v>0</v>
      </c>
      <c r="E3" s="25">
        <v>0</v>
      </c>
      <c r="F3" s="25">
        <v>0</v>
      </c>
      <c r="G3" s="25">
        <v>0.5</v>
      </c>
      <c r="H3" s="25">
        <v>0</v>
      </c>
      <c r="I3" s="25">
        <v>0.4</v>
      </c>
      <c r="J3" s="25">
        <v>0</v>
      </c>
      <c r="K3" s="25">
        <v>0</v>
      </c>
      <c r="L3" s="25">
        <v>0.2</v>
      </c>
      <c r="M3" s="25">
        <v>0.5</v>
      </c>
      <c r="N3" s="25">
        <v>0</v>
      </c>
      <c r="O3" s="25">
        <v>0</v>
      </c>
      <c r="P3" s="25">
        <v>0</v>
      </c>
      <c r="Q3" s="25">
        <v>1</v>
      </c>
      <c r="R3" s="25">
        <v>0</v>
      </c>
      <c r="S3" s="25">
        <v>1</v>
      </c>
      <c r="T3" s="25">
        <v>1</v>
      </c>
      <c r="U3" s="25">
        <v>1</v>
      </c>
      <c r="V3" s="25">
        <v>0</v>
      </c>
      <c r="W3" s="25">
        <v>1</v>
      </c>
      <c r="X3" s="25">
        <v>1</v>
      </c>
      <c r="Y3" s="25">
        <v>1</v>
      </c>
      <c r="Z3" s="25">
        <v>0</v>
      </c>
      <c r="AA3" s="25">
        <v>1</v>
      </c>
      <c r="AB3" s="25">
        <v>1</v>
      </c>
      <c r="AC3" s="25">
        <v>1</v>
      </c>
      <c r="AD3" s="25">
        <v>1</v>
      </c>
      <c r="AE3" s="25">
        <v>1</v>
      </c>
      <c r="AF3" s="25">
        <v>1</v>
      </c>
      <c r="AG3" s="25">
        <v>0.5</v>
      </c>
      <c r="AH3" s="25" t="s">
        <v>35</v>
      </c>
      <c r="AI3" s="55"/>
      <c r="AJ3" s="56"/>
      <c r="AK3" s="29"/>
      <c r="AL3" s="51"/>
      <c r="AM3" s="33">
        <f t="shared" si="0"/>
        <v>1.8708286933869707</v>
      </c>
      <c r="AN3" s="33" t="s">
        <v>10</v>
      </c>
      <c r="AO3" s="34" t="s">
        <v>34</v>
      </c>
      <c r="AP3" s="29"/>
      <c r="AQ3" s="51"/>
      <c r="AR3" s="33">
        <f t="shared" si="1"/>
        <v>1.6586111535179235</v>
      </c>
      <c r="AS3" s="33" t="s">
        <v>9</v>
      </c>
      <c r="AT3" s="34" t="s">
        <v>34</v>
      </c>
      <c r="AU3" s="29"/>
      <c r="AV3" s="51"/>
      <c r="AW3" s="33">
        <f t="shared" si="2"/>
        <v>2.467792535850613</v>
      </c>
      <c r="AX3" s="33" t="s">
        <v>9</v>
      </c>
      <c r="AY3" s="34" t="s">
        <v>34</v>
      </c>
      <c r="AZ3" s="29"/>
      <c r="BA3" s="51"/>
      <c r="BB3" s="33">
        <f t="shared" si="3"/>
        <v>1.6586111535179235</v>
      </c>
      <c r="BC3" s="33" t="s">
        <v>9</v>
      </c>
      <c r="BD3" s="34" t="s">
        <v>34</v>
      </c>
      <c r="BE3" s="29"/>
      <c r="BF3" s="51"/>
      <c r="BG3" s="33">
        <f t="shared" si="4"/>
        <v>1.6586111535179235</v>
      </c>
      <c r="BH3" s="33" t="s">
        <v>9</v>
      </c>
      <c r="BI3" s="34" t="s">
        <v>34</v>
      </c>
      <c r="BJ3" s="29"/>
      <c r="BK3" s="51"/>
      <c r="BL3" s="33">
        <f t="shared" si="5"/>
        <v>1.6586111535179235</v>
      </c>
      <c r="BM3" s="33" t="s">
        <v>9</v>
      </c>
      <c r="BN3" s="34" t="s">
        <v>34</v>
      </c>
      <c r="BO3" s="29"/>
      <c r="BP3" s="51"/>
      <c r="BQ3" s="33">
        <f t="shared" si="6"/>
        <v>2.2271057451320089</v>
      </c>
      <c r="BR3" s="33" t="s">
        <v>9</v>
      </c>
      <c r="BS3" s="34" t="s">
        <v>34</v>
      </c>
      <c r="BT3" s="29"/>
      <c r="BU3" s="51"/>
      <c r="BV3" s="33">
        <f t="shared" si="7"/>
        <v>2.4310491562286436</v>
      </c>
      <c r="BW3" s="33" t="s">
        <v>6</v>
      </c>
      <c r="BX3" s="34" t="s">
        <v>35</v>
      </c>
      <c r="BY3" s="29"/>
    </row>
    <row r="4" spans="1:77" x14ac:dyDescent="0.25">
      <c r="A4" s="25">
        <v>0.7</v>
      </c>
      <c r="B4" s="25">
        <v>0.2</v>
      </c>
      <c r="C4" s="25">
        <v>0.2</v>
      </c>
      <c r="D4" s="25">
        <v>0.7</v>
      </c>
      <c r="E4" s="25">
        <v>1</v>
      </c>
      <c r="F4" s="25">
        <v>0.9</v>
      </c>
      <c r="G4" s="25">
        <v>1</v>
      </c>
      <c r="H4" s="25">
        <v>0.848101265822784</v>
      </c>
      <c r="I4" s="25">
        <v>0.4</v>
      </c>
      <c r="J4" s="25">
        <v>0.5</v>
      </c>
      <c r="K4" s="25">
        <v>0.5</v>
      </c>
      <c r="L4" s="25">
        <v>0.26216216216216198</v>
      </c>
      <c r="M4" s="25">
        <v>0.5</v>
      </c>
      <c r="N4" s="25">
        <v>1</v>
      </c>
      <c r="O4" s="25">
        <v>5.0632911392405E-2</v>
      </c>
      <c r="P4" s="25">
        <v>0.5</v>
      </c>
      <c r="Q4" s="25">
        <v>1</v>
      </c>
      <c r="R4" s="25">
        <v>1</v>
      </c>
      <c r="S4" s="25">
        <v>1</v>
      </c>
      <c r="T4" s="25">
        <v>1</v>
      </c>
      <c r="U4" s="25">
        <v>1</v>
      </c>
      <c r="V4" s="25">
        <v>1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25">
        <v>1</v>
      </c>
      <c r="AC4" s="25">
        <v>1</v>
      </c>
      <c r="AD4" s="25">
        <v>1</v>
      </c>
      <c r="AE4" s="25">
        <v>1</v>
      </c>
      <c r="AF4" s="25">
        <v>1</v>
      </c>
      <c r="AG4" s="25">
        <v>1</v>
      </c>
      <c r="AH4" s="25" t="s">
        <v>35</v>
      </c>
      <c r="AI4" s="55"/>
      <c r="AJ4" s="56"/>
      <c r="AK4" s="29"/>
      <c r="AL4" s="51"/>
      <c r="AM4" s="33">
        <f t="shared" si="0"/>
        <v>2.7846662127497885</v>
      </c>
      <c r="AN4" s="33" t="s">
        <v>9</v>
      </c>
      <c r="AO4" s="34" t="s">
        <v>34</v>
      </c>
      <c r="AP4" s="29"/>
      <c r="AQ4" s="51"/>
      <c r="AR4" s="33">
        <f t="shared" si="1"/>
        <v>2.1991057717419129</v>
      </c>
      <c r="AS4" s="33" t="s">
        <v>11</v>
      </c>
      <c r="AT4" s="34" t="s">
        <v>35</v>
      </c>
      <c r="AU4" s="29"/>
      <c r="AV4" s="51"/>
      <c r="AW4" s="33">
        <f t="shared" si="2"/>
        <v>2.2725241288994602</v>
      </c>
      <c r="AX4" s="33" t="s">
        <v>0</v>
      </c>
      <c r="AY4" s="34" t="s">
        <v>34</v>
      </c>
      <c r="AZ4" s="29"/>
      <c r="BA4" s="51"/>
      <c r="BB4" s="33">
        <f t="shared" si="3"/>
        <v>2.1991057717419129</v>
      </c>
      <c r="BC4" s="33" t="s">
        <v>11</v>
      </c>
      <c r="BD4" s="34" t="s">
        <v>35</v>
      </c>
      <c r="BE4" s="29"/>
      <c r="BF4" s="51"/>
      <c r="BG4" s="33">
        <f t="shared" si="4"/>
        <v>2.1991057717419129</v>
      </c>
      <c r="BH4" s="33" t="s">
        <v>11</v>
      </c>
      <c r="BI4" s="34" t="s">
        <v>35</v>
      </c>
      <c r="BJ4" s="29"/>
      <c r="BK4" s="51"/>
      <c r="BL4" s="33">
        <f t="shared" si="5"/>
        <v>2.1991057717419129</v>
      </c>
      <c r="BM4" s="33" t="s">
        <v>11</v>
      </c>
      <c r="BN4" s="34" t="s">
        <v>35</v>
      </c>
      <c r="BO4" s="29"/>
      <c r="BP4" s="51"/>
      <c r="BQ4" s="33">
        <f t="shared" si="6"/>
        <v>2.9110764188578511</v>
      </c>
      <c r="BR4" s="33" t="s">
        <v>11</v>
      </c>
      <c r="BS4" s="34" t="s">
        <v>35</v>
      </c>
      <c r="BT4" s="29"/>
      <c r="BU4" s="51"/>
      <c r="BV4" s="33">
        <f t="shared" si="7"/>
        <v>2.3064043556075302</v>
      </c>
      <c r="BW4" s="33" t="s">
        <v>9</v>
      </c>
      <c r="BX4" s="34" t="s">
        <v>34</v>
      </c>
      <c r="BY4" s="29"/>
    </row>
    <row r="5" spans="1:77" x14ac:dyDescent="0.25">
      <c r="A5" s="25">
        <v>0.5</v>
      </c>
      <c r="B5" s="25">
        <v>0</v>
      </c>
      <c r="C5" s="25">
        <v>0</v>
      </c>
      <c r="D5" s="25">
        <v>1</v>
      </c>
      <c r="E5" s="25">
        <v>0.3</v>
      </c>
      <c r="F5" s="25">
        <v>1</v>
      </c>
      <c r="G5" s="25">
        <v>0.5</v>
      </c>
      <c r="H5" s="25">
        <v>1</v>
      </c>
      <c r="I5" s="25">
        <v>0.6</v>
      </c>
      <c r="J5" s="25">
        <v>1</v>
      </c>
      <c r="K5" s="25">
        <v>0</v>
      </c>
      <c r="L5" s="25">
        <v>0</v>
      </c>
      <c r="M5" s="25">
        <v>1</v>
      </c>
      <c r="N5" s="25">
        <v>0</v>
      </c>
      <c r="O5" s="25">
        <v>0</v>
      </c>
      <c r="P5" s="25">
        <v>0</v>
      </c>
      <c r="Q5" s="25">
        <v>1</v>
      </c>
      <c r="R5" s="25">
        <v>1</v>
      </c>
      <c r="S5" s="25">
        <v>1</v>
      </c>
      <c r="T5" s="25">
        <v>1</v>
      </c>
      <c r="U5" s="25">
        <v>1</v>
      </c>
      <c r="V5" s="25">
        <v>0</v>
      </c>
      <c r="W5" s="25">
        <v>1</v>
      </c>
      <c r="X5" s="25">
        <v>1</v>
      </c>
      <c r="Y5" s="25">
        <v>0</v>
      </c>
      <c r="Z5" s="25">
        <v>1</v>
      </c>
      <c r="AA5" s="25">
        <v>1</v>
      </c>
      <c r="AB5" s="25">
        <v>1</v>
      </c>
      <c r="AC5" s="25">
        <v>1</v>
      </c>
      <c r="AD5" s="25">
        <v>1</v>
      </c>
      <c r="AE5" s="25">
        <v>0</v>
      </c>
      <c r="AF5" s="25">
        <v>1</v>
      </c>
      <c r="AG5" s="25">
        <v>1</v>
      </c>
      <c r="AH5" s="25" t="s">
        <v>35</v>
      </c>
      <c r="AI5" s="55"/>
      <c r="AJ5" s="56"/>
      <c r="AK5" s="29"/>
      <c r="AL5" s="51"/>
      <c r="AM5" s="30">
        <f t="shared" si="0"/>
        <v>2.3108440016582685</v>
      </c>
      <c r="AN5" s="30" t="s">
        <v>8</v>
      </c>
      <c r="AO5" s="25" t="s">
        <v>35</v>
      </c>
      <c r="AP5" s="29"/>
      <c r="AQ5" s="51"/>
      <c r="AR5" s="30">
        <f t="shared" si="1"/>
        <v>1.8295875815473841</v>
      </c>
      <c r="AS5" s="30" t="s">
        <v>0</v>
      </c>
      <c r="AT5" s="25" t="s">
        <v>34</v>
      </c>
      <c r="AU5" s="29"/>
      <c r="AV5" s="51"/>
      <c r="AW5" s="30">
        <f t="shared" si="2"/>
        <v>1.6217274740226855</v>
      </c>
      <c r="AX5" s="30" t="s">
        <v>6</v>
      </c>
      <c r="AY5" s="25" t="s">
        <v>35</v>
      </c>
      <c r="AZ5" s="29"/>
      <c r="BA5" s="51"/>
      <c r="BB5" s="30">
        <f t="shared" si="3"/>
        <v>1.8295875815473841</v>
      </c>
      <c r="BC5" s="30" t="s">
        <v>0</v>
      </c>
      <c r="BD5" s="25" t="s">
        <v>34</v>
      </c>
      <c r="BE5" s="29"/>
      <c r="BF5" s="51"/>
      <c r="BG5" s="30">
        <f t="shared" si="4"/>
        <v>1.8295875815473841</v>
      </c>
      <c r="BH5" s="30" t="s">
        <v>0</v>
      </c>
      <c r="BI5" s="25" t="s">
        <v>34</v>
      </c>
      <c r="BJ5" s="29"/>
      <c r="BK5" s="51"/>
      <c r="BL5" s="30">
        <f t="shared" si="5"/>
        <v>1.8295875815473841</v>
      </c>
      <c r="BM5" s="30" t="s">
        <v>0</v>
      </c>
      <c r="BN5" s="25" t="s">
        <v>34</v>
      </c>
      <c r="BO5" s="29"/>
      <c r="BP5" s="51"/>
      <c r="BQ5" s="30">
        <f t="shared" si="6"/>
        <v>1.8761663039293719</v>
      </c>
      <c r="BR5" s="30" t="s">
        <v>10</v>
      </c>
      <c r="BS5" s="25" t="s">
        <v>34</v>
      </c>
      <c r="BT5" s="29"/>
      <c r="BU5" s="51"/>
      <c r="BV5" s="30">
        <f t="shared" si="7"/>
        <v>1.5842979517754858</v>
      </c>
      <c r="BW5" s="30" t="s">
        <v>8</v>
      </c>
      <c r="BX5" s="25" t="s">
        <v>35</v>
      </c>
      <c r="BY5" s="29"/>
    </row>
    <row r="6" spans="1:77" x14ac:dyDescent="0.25">
      <c r="A6" s="25">
        <v>0.7</v>
      </c>
      <c r="B6" s="25">
        <v>0.2</v>
      </c>
      <c r="C6" s="25">
        <v>0.3</v>
      </c>
      <c r="D6" s="25">
        <v>0.7</v>
      </c>
      <c r="E6" s="25">
        <v>0</v>
      </c>
      <c r="F6" s="25">
        <v>1</v>
      </c>
      <c r="G6" s="25">
        <v>0.5</v>
      </c>
      <c r="H6" s="25">
        <v>1</v>
      </c>
      <c r="I6" s="25">
        <v>0.2</v>
      </c>
      <c r="J6" s="25">
        <v>0</v>
      </c>
      <c r="K6" s="25">
        <v>0</v>
      </c>
      <c r="L6" s="25">
        <v>0</v>
      </c>
      <c r="M6" s="25">
        <v>1</v>
      </c>
      <c r="N6" s="25">
        <v>0</v>
      </c>
      <c r="O6" s="25">
        <v>0</v>
      </c>
      <c r="P6" s="25">
        <v>0</v>
      </c>
      <c r="Q6" s="25">
        <v>1</v>
      </c>
      <c r="R6" s="25">
        <v>0</v>
      </c>
      <c r="S6" s="25">
        <v>1</v>
      </c>
      <c r="T6" s="25">
        <v>1</v>
      </c>
      <c r="U6" s="25">
        <v>1</v>
      </c>
      <c r="V6" s="25">
        <v>0</v>
      </c>
      <c r="W6" s="25">
        <v>1</v>
      </c>
      <c r="X6" s="25">
        <v>1</v>
      </c>
      <c r="Y6" s="25">
        <v>1</v>
      </c>
      <c r="Z6" s="25">
        <v>0</v>
      </c>
      <c r="AA6" s="25">
        <v>1</v>
      </c>
      <c r="AB6" s="25">
        <v>1</v>
      </c>
      <c r="AC6" s="25">
        <v>1</v>
      </c>
      <c r="AD6" s="25">
        <v>1</v>
      </c>
      <c r="AE6" s="25">
        <v>1</v>
      </c>
      <c r="AF6" s="25">
        <v>1</v>
      </c>
      <c r="AG6" s="25">
        <v>1</v>
      </c>
      <c r="AH6" s="25" t="s">
        <v>34</v>
      </c>
      <c r="AI6" s="55"/>
      <c r="AJ6" s="56"/>
      <c r="AK6" s="29"/>
      <c r="AL6" s="51"/>
      <c r="AM6" s="30">
        <f t="shared" si="0"/>
        <v>1.4387494569938157</v>
      </c>
      <c r="AN6" s="30" t="s">
        <v>0</v>
      </c>
      <c r="AO6" s="25" t="s">
        <v>34</v>
      </c>
      <c r="AP6" s="29"/>
      <c r="AQ6" s="51"/>
      <c r="AR6" s="30">
        <f t="shared" si="1"/>
        <v>1.2833699076026719</v>
      </c>
      <c r="AS6" s="30" t="s">
        <v>4</v>
      </c>
      <c r="AT6" s="25" t="s">
        <v>34</v>
      </c>
      <c r="AU6" s="29"/>
      <c r="AV6" s="51"/>
      <c r="AW6" s="30">
        <f t="shared" si="2"/>
        <v>2</v>
      </c>
      <c r="AX6" s="30" t="s">
        <v>3</v>
      </c>
      <c r="AY6" s="25" t="s">
        <v>35</v>
      </c>
      <c r="AZ6" s="29"/>
      <c r="BA6" s="51"/>
      <c r="BB6" s="30">
        <f t="shared" si="3"/>
        <v>1.2833699076026719</v>
      </c>
      <c r="BC6" s="30" t="s">
        <v>4</v>
      </c>
      <c r="BD6" s="25" t="s">
        <v>34</v>
      </c>
      <c r="BE6" s="29"/>
      <c r="BF6" s="51"/>
      <c r="BG6" s="30">
        <f t="shared" si="4"/>
        <v>1.2833699076026719</v>
      </c>
      <c r="BH6" s="30" t="s">
        <v>4</v>
      </c>
      <c r="BI6" s="25" t="s">
        <v>34</v>
      </c>
      <c r="BJ6" s="29"/>
      <c r="BK6" s="51"/>
      <c r="BL6" s="30">
        <f t="shared" si="5"/>
        <v>1.2833699076026719</v>
      </c>
      <c r="BM6" s="30" t="s">
        <v>4</v>
      </c>
      <c r="BN6" s="25" t="s">
        <v>34</v>
      </c>
      <c r="BO6" s="29"/>
      <c r="BP6" s="51"/>
      <c r="BQ6" s="30">
        <f t="shared" si="6"/>
        <v>1.6703293088490065</v>
      </c>
      <c r="BR6" s="30" t="s">
        <v>0</v>
      </c>
      <c r="BS6" s="25" t="s">
        <v>34</v>
      </c>
      <c r="BT6" s="29"/>
      <c r="BU6" s="51"/>
      <c r="BV6" s="30">
        <f t="shared" si="7"/>
        <v>1.9339079605813716</v>
      </c>
      <c r="BW6" s="30" t="s">
        <v>3</v>
      </c>
      <c r="BX6" s="25" t="s">
        <v>35</v>
      </c>
      <c r="BY6" s="29"/>
    </row>
    <row r="7" spans="1:77" x14ac:dyDescent="0.25">
      <c r="A7" s="25">
        <v>0.7</v>
      </c>
      <c r="B7" s="25">
        <v>0.2</v>
      </c>
      <c r="C7" s="25">
        <v>0.3</v>
      </c>
      <c r="D7" s="25">
        <v>0.7</v>
      </c>
      <c r="E7" s="25">
        <v>0</v>
      </c>
      <c r="F7" s="25">
        <v>1</v>
      </c>
      <c r="G7" s="25">
        <v>0.5</v>
      </c>
      <c r="H7" s="25">
        <v>1</v>
      </c>
      <c r="I7" s="25">
        <v>0.2</v>
      </c>
      <c r="J7" s="25">
        <v>0</v>
      </c>
      <c r="K7" s="25">
        <v>0</v>
      </c>
      <c r="L7" s="25">
        <v>0.2</v>
      </c>
      <c r="M7" s="25">
        <v>0.2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1</v>
      </c>
      <c r="T7" s="25">
        <v>1</v>
      </c>
      <c r="U7" s="25">
        <v>1</v>
      </c>
      <c r="V7" s="25">
        <v>0</v>
      </c>
      <c r="W7" s="25">
        <v>1</v>
      </c>
      <c r="X7" s="25">
        <v>1</v>
      </c>
      <c r="Y7" s="25">
        <v>0</v>
      </c>
      <c r="Z7" s="25">
        <v>0</v>
      </c>
      <c r="AA7" s="25">
        <v>1</v>
      </c>
      <c r="AB7" s="25">
        <v>1</v>
      </c>
      <c r="AC7" s="25">
        <v>1</v>
      </c>
      <c r="AD7" s="25">
        <v>1</v>
      </c>
      <c r="AE7" s="25">
        <v>1</v>
      </c>
      <c r="AF7" s="25">
        <v>1</v>
      </c>
      <c r="AG7" s="25">
        <v>0.5</v>
      </c>
      <c r="AH7" s="25" t="s">
        <v>35</v>
      </c>
      <c r="AI7" s="55"/>
      <c r="AJ7" s="56"/>
      <c r="AK7" s="29"/>
      <c r="AL7" s="51"/>
      <c r="AM7" s="30">
        <f t="shared" si="0"/>
        <v>2.0493901531919194</v>
      </c>
      <c r="AN7" s="30" t="s">
        <v>4</v>
      </c>
      <c r="AO7" s="25" t="s">
        <v>34</v>
      </c>
      <c r="AP7" s="29"/>
      <c r="AQ7" s="51"/>
      <c r="AR7" s="30">
        <f t="shared" si="1"/>
        <v>1.7251067794086941</v>
      </c>
      <c r="AS7" s="30" t="s">
        <v>10</v>
      </c>
      <c r="AT7" s="25" t="s">
        <v>34</v>
      </c>
      <c r="AU7" s="29"/>
      <c r="AV7" s="51"/>
      <c r="AW7" s="30">
        <f t="shared" si="2"/>
        <v>2.4758836806279896</v>
      </c>
      <c r="AX7" s="30" t="s">
        <v>11</v>
      </c>
      <c r="AY7" s="25" t="s">
        <v>35</v>
      </c>
      <c r="AZ7" s="29"/>
      <c r="BA7" s="51"/>
      <c r="BB7" s="30">
        <f t="shared" si="3"/>
        <v>1.7251067794086941</v>
      </c>
      <c r="BC7" s="30" t="s">
        <v>10</v>
      </c>
      <c r="BD7" s="25" t="s">
        <v>34</v>
      </c>
      <c r="BE7" s="29"/>
      <c r="BF7" s="51"/>
      <c r="BG7" s="30">
        <f t="shared" si="4"/>
        <v>1.7251067794086941</v>
      </c>
      <c r="BH7" s="30" t="s">
        <v>10</v>
      </c>
      <c r="BI7" s="25" t="s">
        <v>34</v>
      </c>
      <c r="BJ7" s="29"/>
      <c r="BK7" s="51"/>
      <c r="BL7" s="30">
        <f t="shared" si="5"/>
        <v>1.7251067794086941</v>
      </c>
      <c r="BM7" s="30" t="s">
        <v>10</v>
      </c>
      <c r="BN7" s="25" t="s">
        <v>34</v>
      </c>
      <c r="BO7" s="29"/>
      <c r="BP7" s="51"/>
      <c r="BQ7" s="30">
        <f t="shared" si="6"/>
        <v>1.7088007490635062</v>
      </c>
      <c r="BR7" s="30" t="s">
        <v>4</v>
      </c>
      <c r="BS7" s="25" t="s">
        <v>34</v>
      </c>
      <c r="BT7" s="29"/>
      <c r="BU7" s="51"/>
      <c r="BV7" s="30">
        <f t="shared" si="7"/>
        <v>2.4062418831031929</v>
      </c>
      <c r="BW7" s="30" t="s">
        <v>11</v>
      </c>
      <c r="BX7" s="25" t="s">
        <v>35</v>
      </c>
      <c r="BY7" s="29"/>
    </row>
    <row r="8" spans="1:77" x14ac:dyDescent="0.25">
      <c r="A8" s="25">
        <v>0.7</v>
      </c>
      <c r="B8" s="25">
        <v>0</v>
      </c>
      <c r="C8" s="25">
        <v>0</v>
      </c>
      <c r="D8" s="25">
        <v>1</v>
      </c>
      <c r="E8" s="25">
        <v>0.3</v>
      </c>
      <c r="F8" s="25">
        <v>1</v>
      </c>
      <c r="G8" s="25">
        <v>0.5</v>
      </c>
      <c r="H8" s="25">
        <v>1</v>
      </c>
      <c r="I8" s="25">
        <v>0.8</v>
      </c>
      <c r="J8" s="25">
        <v>0</v>
      </c>
      <c r="K8" s="25">
        <v>0</v>
      </c>
      <c r="L8" s="25">
        <v>1</v>
      </c>
      <c r="M8" s="25">
        <v>0.5</v>
      </c>
      <c r="N8" s="25">
        <v>0</v>
      </c>
      <c r="O8" s="25">
        <v>0</v>
      </c>
      <c r="P8" s="25">
        <v>0</v>
      </c>
      <c r="Q8" s="25">
        <v>1</v>
      </c>
      <c r="R8" s="25">
        <v>1</v>
      </c>
      <c r="S8" s="25">
        <v>1</v>
      </c>
      <c r="T8" s="25">
        <v>1</v>
      </c>
      <c r="U8" s="25">
        <v>1</v>
      </c>
      <c r="V8" s="25">
        <v>0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B8" s="25">
        <v>1</v>
      </c>
      <c r="AC8" s="25">
        <v>1</v>
      </c>
      <c r="AD8" s="25">
        <v>1</v>
      </c>
      <c r="AE8" s="25">
        <v>0</v>
      </c>
      <c r="AF8" s="25">
        <v>1</v>
      </c>
      <c r="AG8" s="25">
        <v>0.5</v>
      </c>
      <c r="AH8" s="25" t="s">
        <v>35</v>
      </c>
      <c r="AI8" s="55"/>
      <c r="AJ8" s="56"/>
      <c r="AK8" s="29"/>
      <c r="AL8" s="51"/>
      <c r="AM8" s="30">
        <f t="shared" si="0"/>
        <v>2.1023796041628637</v>
      </c>
      <c r="AN8" s="30" t="s">
        <v>1</v>
      </c>
      <c r="AO8" s="25" t="s">
        <v>35</v>
      </c>
      <c r="AP8" s="29"/>
      <c r="AQ8" s="51"/>
      <c r="AR8" s="30">
        <f t="shared" si="1"/>
        <v>1.6854137883280422</v>
      </c>
      <c r="AS8" s="30" t="s">
        <v>7</v>
      </c>
      <c r="AT8" s="25" t="s">
        <v>35</v>
      </c>
      <c r="AU8" s="29"/>
      <c r="AV8" s="51"/>
      <c r="AW8" s="30">
        <f t="shared" si="2"/>
        <v>1.4106735979665885</v>
      </c>
      <c r="AX8" s="30" t="s">
        <v>10</v>
      </c>
      <c r="AY8" s="25" t="s">
        <v>34</v>
      </c>
      <c r="AZ8" s="29"/>
      <c r="BA8" s="51"/>
      <c r="BB8" s="30">
        <f t="shared" si="3"/>
        <v>1.6854137883280422</v>
      </c>
      <c r="BC8" s="30" t="s">
        <v>7</v>
      </c>
      <c r="BD8" s="25" t="s">
        <v>35</v>
      </c>
      <c r="BE8" s="29"/>
      <c r="BF8" s="51"/>
      <c r="BG8" s="30">
        <f t="shared" si="4"/>
        <v>1.6854137883280422</v>
      </c>
      <c r="BH8" s="30" t="s">
        <v>7</v>
      </c>
      <c r="BI8" s="25" t="s">
        <v>35</v>
      </c>
      <c r="BJ8" s="29"/>
      <c r="BK8" s="51"/>
      <c r="BL8" s="30">
        <f t="shared" si="5"/>
        <v>1.6854137883280422</v>
      </c>
      <c r="BM8" s="30" t="s">
        <v>7</v>
      </c>
      <c r="BN8" s="25" t="s">
        <v>35</v>
      </c>
      <c r="BO8" s="29"/>
      <c r="BP8" s="51"/>
      <c r="BQ8" s="30">
        <f t="shared" si="6"/>
        <v>2.1725560982400429</v>
      </c>
      <c r="BR8" s="30" t="s">
        <v>5</v>
      </c>
      <c r="BS8" s="25" t="s">
        <v>35</v>
      </c>
      <c r="BT8" s="29"/>
      <c r="BU8" s="51"/>
      <c r="BV8" s="30">
        <f t="shared" si="7"/>
        <v>1.1269427669584644</v>
      </c>
      <c r="BW8" s="30" t="s">
        <v>10</v>
      </c>
      <c r="BX8" s="25" t="s">
        <v>34</v>
      </c>
      <c r="BY8" s="29"/>
    </row>
    <row r="9" spans="1:77" x14ac:dyDescent="0.25">
      <c r="A9" s="25">
        <v>0.9</v>
      </c>
      <c r="B9" s="25">
        <v>0</v>
      </c>
      <c r="C9" s="25">
        <v>1</v>
      </c>
      <c r="D9" s="25">
        <v>1</v>
      </c>
      <c r="E9" s="25">
        <v>0.3</v>
      </c>
      <c r="F9" s="25">
        <v>1</v>
      </c>
      <c r="G9" s="25">
        <v>0.5</v>
      </c>
      <c r="H9" s="25">
        <v>1</v>
      </c>
      <c r="I9" s="25">
        <v>0.4</v>
      </c>
      <c r="J9" s="25">
        <v>0</v>
      </c>
      <c r="K9" s="25">
        <v>0</v>
      </c>
      <c r="L9" s="25">
        <v>0.2</v>
      </c>
      <c r="M9" s="25">
        <v>0.5</v>
      </c>
      <c r="N9" s="25">
        <v>0</v>
      </c>
      <c r="O9" s="25">
        <v>0</v>
      </c>
      <c r="P9" s="25">
        <v>0</v>
      </c>
      <c r="Q9" s="25">
        <v>1</v>
      </c>
      <c r="R9" s="25">
        <v>0</v>
      </c>
      <c r="S9" s="25">
        <v>1</v>
      </c>
      <c r="T9" s="25">
        <v>1</v>
      </c>
      <c r="U9" s="25">
        <v>1</v>
      </c>
      <c r="V9" s="25">
        <v>0</v>
      </c>
      <c r="W9" s="25">
        <v>1</v>
      </c>
      <c r="X9" s="25">
        <v>1</v>
      </c>
      <c r="Y9" s="25">
        <v>1</v>
      </c>
      <c r="Z9" s="25">
        <v>0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0.5</v>
      </c>
      <c r="AH9" s="25" t="s">
        <v>35</v>
      </c>
      <c r="AI9" s="55"/>
      <c r="AJ9" s="56"/>
      <c r="AK9" s="29"/>
      <c r="AL9" s="51"/>
      <c r="AM9" s="30">
        <f t="shared" si="0"/>
        <v>1.8920887928424501</v>
      </c>
      <c r="AN9" s="30" t="s">
        <v>7</v>
      </c>
      <c r="AO9" s="25" t="s">
        <v>35</v>
      </c>
      <c r="AP9" s="29"/>
      <c r="AQ9" s="51"/>
      <c r="AR9" s="30">
        <f t="shared" si="1"/>
        <v>1.623203137912347</v>
      </c>
      <c r="AS9" s="30" t="s">
        <v>1</v>
      </c>
      <c r="AT9" s="25" t="s">
        <v>35</v>
      </c>
      <c r="AU9" s="29"/>
      <c r="AV9" s="51"/>
      <c r="AW9" s="30">
        <f t="shared" si="2"/>
        <v>2.2781571499789037</v>
      </c>
      <c r="AX9" s="30" t="s">
        <v>4</v>
      </c>
      <c r="AY9" s="25" t="s">
        <v>34</v>
      </c>
      <c r="AZ9" s="29"/>
      <c r="BA9" s="51"/>
      <c r="BB9" s="30">
        <f t="shared" si="3"/>
        <v>1.623203137912347</v>
      </c>
      <c r="BC9" s="30" t="s">
        <v>1</v>
      </c>
      <c r="BD9" s="25" t="s">
        <v>35</v>
      </c>
      <c r="BE9" s="29"/>
      <c r="BF9" s="51"/>
      <c r="BG9" s="30">
        <f t="shared" si="4"/>
        <v>1.623203137912347</v>
      </c>
      <c r="BH9" s="30" t="s">
        <v>1</v>
      </c>
      <c r="BI9" s="25" t="s">
        <v>35</v>
      </c>
      <c r="BJ9" s="29"/>
      <c r="BK9" s="51"/>
      <c r="BL9" s="30">
        <f t="shared" si="5"/>
        <v>1.623203137912347</v>
      </c>
      <c r="BM9" s="30" t="s">
        <v>1</v>
      </c>
      <c r="BN9" s="25" t="s">
        <v>35</v>
      </c>
      <c r="BO9" s="29"/>
      <c r="BP9" s="51"/>
      <c r="BQ9" s="30">
        <f t="shared" si="6"/>
        <v>2</v>
      </c>
      <c r="BR9" s="30" t="s">
        <v>3</v>
      </c>
      <c r="BS9" s="25" t="s">
        <v>35</v>
      </c>
      <c r="BT9" s="29"/>
      <c r="BU9" s="51"/>
      <c r="BV9" s="30">
        <f t="shared" si="7"/>
        <v>2.1977260975835913</v>
      </c>
      <c r="BW9" s="30" t="s">
        <v>4</v>
      </c>
      <c r="BX9" s="25" t="s">
        <v>34</v>
      </c>
      <c r="BY9" s="29"/>
    </row>
    <row r="10" spans="1:77" x14ac:dyDescent="0.25">
      <c r="A10" s="25">
        <v>0.2</v>
      </c>
      <c r="B10" s="25">
        <v>0.1</v>
      </c>
      <c r="C10" s="25">
        <v>0.2</v>
      </c>
      <c r="D10" s="25">
        <v>0.5</v>
      </c>
      <c r="E10" s="25">
        <v>0.1</v>
      </c>
      <c r="F10" s="25">
        <v>0.9</v>
      </c>
      <c r="G10" s="25">
        <v>0.55416666666666603</v>
      </c>
      <c r="H10" s="25">
        <v>0.848101265822784</v>
      </c>
      <c r="I10" s="25">
        <v>0.42278481012658198</v>
      </c>
      <c r="J10" s="25">
        <v>0.13055555555555501</v>
      </c>
      <c r="K10" s="25">
        <v>0.05</v>
      </c>
      <c r="L10" s="25">
        <v>0.26216216216216198</v>
      </c>
      <c r="M10" s="25">
        <v>0.515625</v>
      </c>
      <c r="N10" s="25">
        <v>7.4999999999999997E-2</v>
      </c>
      <c r="O10" s="25">
        <v>5.0632911392405E-2</v>
      </c>
      <c r="P10" s="25">
        <v>9.9999999999999895E-2</v>
      </c>
      <c r="Q10" s="25">
        <v>0.938271604938271</v>
      </c>
      <c r="R10" s="25">
        <v>0.38271604938271597</v>
      </c>
      <c r="S10" s="25">
        <v>0.96296296296296302</v>
      </c>
      <c r="T10" s="25">
        <v>1</v>
      </c>
      <c r="U10" s="25">
        <v>1</v>
      </c>
      <c r="V10" s="25">
        <v>0.12345679012345601</v>
      </c>
      <c r="W10" s="25">
        <v>0.96296296296296302</v>
      </c>
      <c r="X10" s="25">
        <v>0.95061728395061695</v>
      </c>
      <c r="Y10" s="25">
        <v>0.75308641975308599</v>
      </c>
      <c r="Z10" s="25">
        <v>0.35802469135802401</v>
      </c>
      <c r="AA10" s="25">
        <v>0.98765432098765404</v>
      </c>
      <c r="AB10" s="25">
        <v>1</v>
      </c>
      <c r="AC10" s="25">
        <v>0.97530864197530798</v>
      </c>
      <c r="AD10" s="25">
        <v>1</v>
      </c>
      <c r="AE10" s="25">
        <v>0.46249999999999902</v>
      </c>
      <c r="AF10" s="25">
        <v>1</v>
      </c>
      <c r="AG10" s="25">
        <v>0.89610389610389596</v>
      </c>
      <c r="AH10" s="25" t="s">
        <v>35</v>
      </c>
      <c r="AI10" s="55"/>
      <c r="AJ10" s="56"/>
      <c r="AK10" s="29"/>
      <c r="AL10" s="51"/>
      <c r="AM10" s="30">
        <f t="shared" si="0"/>
        <v>1.0767708538211942</v>
      </c>
      <c r="AN10" s="30" t="s">
        <v>5</v>
      </c>
      <c r="AO10" s="25" t="s">
        <v>35</v>
      </c>
      <c r="AP10" s="29"/>
      <c r="AQ10" s="51"/>
      <c r="AR10" s="30">
        <f t="shared" si="1"/>
        <v>0.2</v>
      </c>
      <c r="AS10" s="30" t="s">
        <v>6</v>
      </c>
      <c r="AT10" s="25" t="s">
        <v>35</v>
      </c>
      <c r="AU10" s="29"/>
      <c r="AV10" s="51"/>
      <c r="AW10" s="30">
        <f t="shared" si="2"/>
        <v>1.1904066171724585</v>
      </c>
      <c r="AX10" s="30" t="s">
        <v>2</v>
      </c>
      <c r="AY10" s="25" t="s">
        <v>35</v>
      </c>
      <c r="AZ10" s="29"/>
      <c r="BA10" s="51"/>
      <c r="BB10" s="30">
        <f t="shared" si="3"/>
        <v>0.2</v>
      </c>
      <c r="BC10" s="30" t="s">
        <v>6</v>
      </c>
      <c r="BD10" s="25" t="s">
        <v>35</v>
      </c>
      <c r="BE10" s="29"/>
      <c r="BF10" s="51"/>
      <c r="BG10" s="30">
        <f t="shared" si="4"/>
        <v>0.2</v>
      </c>
      <c r="BH10" s="30" t="s">
        <v>6</v>
      </c>
      <c r="BI10" s="25" t="s">
        <v>35</v>
      </c>
      <c r="BJ10" s="29"/>
      <c r="BK10" s="51"/>
      <c r="BL10" s="30">
        <f t="shared" si="5"/>
        <v>0.2</v>
      </c>
      <c r="BM10" s="30" t="s">
        <v>6</v>
      </c>
      <c r="BN10" s="25" t="s">
        <v>35</v>
      </c>
      <c r="BO10" s="29"/>
      <c r="BP10" s="51"/>
      <c r="BQ10" s="30">
        <f t="shared" si="6"/>
        <v>1.1685924486941524</v>
      </c>
      <c r="BR10" s="30" t="s">
        <v>7</v>
      </c>
      <c r="BS10" s="25" t="s">
        <v>35</v>
      </c>
      <c r="BT10" s="29"/>
      <c r="BU10" s="51"/>
      <c r="BV10" s="30">
        <f t="shared" si="7"/>
        <v>1.1502561129124584</v>
      </c>
      <c r="BW10" s="30" t="s">
        <v>7</v>
      </c>
      <c r="BX10" s="25" t="s">
        <v>35</v>
      </c>
      <c r="BY10" s="29"/>
    </row>
    <row r="11" spans="1:77" x14ac:dyDescent="0.25">
      <c r="A11" s="25">
        <v>0.3</v>
      </c>
      <c r="B11" s="25">
        <v>0.1</v>
      </c>
      <c r="C11" s="25">
        <v>0.2</v>
      </c>
      <c r="D11" s="25">
        <v>0.5</v>
      </c>
      <c r="E11" s="25">
        <v>0.1</v>
      </c>
      <c r="F11" s="25">
        <v>0.9</v>
      </c>
      <c r="G11" s="25">
        <v>0.55416666666666603</v>
      </c>
      <c r="H11" s="25">
        <v>0.848101265822784</v>
      </c>
      <c r="I11" s="25">
        <v>0.42278481012658198</v>
      </c>
      <c r="J11" s="25">
        <v>0.13055555555555501</v>
      </c>
      <c r="K11" s="25">
        <v>0.05</v>
      </c>
      <c r="L11" s="25">
        <v>0.26216216216216198</v>
      </c>
      <c r="M11" s="25">
        <v>0.515625</v>
      </c>
      <c r="N11" s="25">
        <v>7.4999999999999997E-2</v>
      </c>
      <c r="O11" s="25">
        <v>5.0632911392405E-2</v>
      </c>
      <c r="P11" s="25">
        <v>9.9999999999999895E-2</v>
      </c>
      <c r="Q11" s="25">
        <v>0.938271604938271</v>
      </c>
      <c r="R11" s="25">
        <v>0.38271604938271597</v>
      </c>
      <c r="S11" s="25">
        <v>0.96296296296296302</v>
      </c>
      <c r="T11" s="25">
        <v>1</v>
      </c>
      <c r="U11" s="25">
        <v>1</v>
      </c>
      <c r="V11" s="25">
        <v>0.12345679012345601</v>
      </c>
      <c r="W11" s="25">
        <v>0.96296296296296302</v>
      </c>
      <c r="X11" s="25">
        <v>0.95061728395061695</v>
      </c>
      <c r="Y11" s="25">
        <v>0.75308641975308599</v>
      </c>
      <c r="Z11" s="25">
        <v>0.35802469135802401</v>
      </c>
      <c r="AA11" s="25">
        <v>0.98765432098765404</v>
      </c>
      <c r="AB11" s="25">
        <v>1</v>
      </c>
      <c r="AC11" s="25">
        <v>0.97530864197530798</v>
      </c>
      <c r="AD11" s="25">
        <v>1</v>
      </c>
      <c r="AE11" s="25">
        <v>0.46249999999999902</v>
      </c>
      <c r="AF11" s="25">
        <v>1</v>
      </c>
      <c r="AG11" s="25">
        <v>0.89610389610389596</v>
      </c>
      <c r="AH11" s="25" t="s">
        <v>34</v>
      </c>
      <c r="AI11" s="55"/>
      <c r="AJ11" s="56"/>
      <c r="AK11" s="29"/>
      <c r="AL11" s="51"/>
      <c r="AM11" s="30">
        <f t="shared" si="0"/>
        <v>1.0532974279085767</v>
      </c>
      <c r="AN11" s="30" t="s">
        <v>6</v>
      </c>
      <c r="AO11" s="25" t="s">
        <v>35</v>
      </c>
      <c r="AP11" s="29"/>
      <c r="AQ11" s="51"/>
      <c r="AR11" s="30">
        <f t="shared" si="1"/>
        <v>0.3</v>
      </c>
      <c r="AS11" s="30" t="s">
        <v>5</v>
      </c>
      <c r="AT11" s="25" t="s">
        <v>35</v>
      </c>
      <c r="AU11" s="29"/>
      <c r="AV11" s="51"/>
      <c r="AW11" s="30">
        <f t="shared" si="2"/>
        <v>1.2112257899367798</v>
      </c>
      <c r="AX11" s="30" t="s">
        <v>7</v>
      </c>
      <c r="AY11" s="25" t="s">
        <v>35</v>
      </c>
      <c r="AZ11" s="29"/>
      <c r="BA11" s="51"/>
      <c r="BB11" s="30">
        <f t="shared" si="3"/>
        <v>0.3</v>
      </c>
      <c r="BC11" s="30" t="s">
        <v>5</v>
      </c>
      <c r="BD11" s="25" t="s">
        <v>35</v>
      </c>
      <c r="BE11" s="29"/>
      <c r="BF11" s="51"/>
      <c r="BG11" s="30">
        <f t="shared" si="4"/>
        <v>0.3</v>
      </c>
      <c r="BH11" s="30" t="s">
        <v>5</v>
      </c>
      <c r="BI11" s="25" t="s">
        <v>35</v>
      </c>
      <c r="BJ11" s="29"/>
      <c r="BK11" s="51"/>
      <c r="BL11" s="30">
        <f t="shared" si="5"/>
        <v>0.3</v>
      </c>
      <c r="BM11" s="30" t="s">
        <v>5</v>
      </c>
      <c r="BN11" s="25" t="s">
        <v>35</v>
      </c>
      <c r="BO11" s="29"/>
      <c r="BP11" s="51"/>
      <c r="BQ11" s="30">
        <f t="shared" si="6"/>
        <v>1.1728632960174836</v>
      </c>
      <c r="BR11" s="30" t="s">
        <v>6</v>
      </c>
      <c r="BS11" s="25" t="s">
        <v>35</v>
      </c>
      <c r="BT11" s="29"/>
      <c r="BU11" s="51"/>
      <c r="BV11" s="30">
        <f t="shared" si="7"/>
        <v>1.1459010102502216</v>
      </c>
      <c r="BW11" s="30" t="s">
        <v>2</v>
      </c>
      <c r="BX11" s="25" t="s">
        <v>35</v>
      </c>
      <c r="BY11" s="29"/>
    </row>
    <row r="12" spans="1:77" x14ac:dyDescent="0.25">
      <c r="A12" s="25">
        <v>1</v>
      </c>
      <c r="B12" s="25">
        <v>0</v>
      </c>
      <c r="C12" s="25">
        <v>0</v>
      </c>
      <c r="D12" s="25">
        <v>0</v>
      </c>
      <c r="E12" s="25">
        <v>0</v>
      </c>
      <c r="F12" s="25">
        <v>1</v>
      </c>
      <c r="G12" s="25">
        <v>0.5</v>
      </c>
      <c r="H12" s="25">
        <v>1</v>
      </c>
      <c r="I12" s="25">
        <v>0.6</v>
      </c>
      <c r="J12" s="25">
        <v>0</v>
      </c>
      <c r="K12" s="25">
        <v>0</v>
      </c>
      <c r="L12" s="25">
        <v>0.2</v>
      </c>
      <c r="M12" s="25">
        <v>0.5</v>
      </c>
      <c r="N12" s="25">
        <v>0</v>
      </c>
      <c r="O12" s="25">
        <v>0</v>
      </c>
      <c r="P12" s="25">
        <v>0</v>
      </c>
      <c r="Q12" s="25">
        <v>1</v>
      </c>
      <c r="R12" s="25">
        <v>0</v>
      </c>
      <c r="S12" s="25">
        <v>1</v>
      </c>
      <c r="T12" s="25">
        <v>1</v>
      </c>
      <c r="U12" s="25">
        <v>1</v>
      </c>
      <c r="V12" s="25">
        <v>0</v>
      </c>
      <c r="W12" s="25">
        <v>1</v>
      </c>
      <c r="X12" s="25">
        <v>1</v>
      </c>
      <c r="Y12" s="25">
        <v>1</v>
      </c>
      <c r="Z12" s="25">
        <v>0</v>
      </c>
      <c r="AA12" s="25">
        <v>1</v>
      </c>
      <c r="AB12" s="25">
        <v>1</v>
      </c>
      <c r="AC12" s="25">
        <v>1</v>
      </c>
      <c r="AD12" s="25">
        <v>1</v>
      </c>
      <c r="AE12" s="25">
        <v>0</v>
      </c>
      <c r="AF12" s="25">
        <v>1</v>
      </c>
      <c r="AG12" s="25">
        <v>1</v>
      </c>
      <c r="AH12" s="25" t="s">
        <v>34</v>
      </c>
      <c r="AI12" s="55"/>
      <c r="AJ12" s="56"/>
      <c r="AK12" s="29"/>
      <c r="AL12" s="51"/>
      <c r="AM12" s="30">
        <f t="shared" si="0"/>
        <v>0.53851648071345048</v>
      </c>
      <c r="AN12" s="30" t="s">
        <v>3</v>
      </c>
      <c r="AO12" s="25" t="s">
        <v>35</v>
      </c>
      <c r="AP12" s="29"/>
      <c r="AQ12" s="51"/>
      <c r="AR12" s="30">
        <f t="shared" si="1"/>
        <v>1.4158285937125152</v>
      </c>
      <c r="AS12" s="30" t="s">
        <v>3</v>
      </c>
      <c r="AT12" s="25" t="s">
        <v>35</v>
      </c>
      <c r="AU12" s="29"/>
      <c r="AV12" s="51"/>
      <c r="AW12" s="30">
        <f t="shared" si="2"/>
        <v>1.9131126469708992</v>
      </c>
      <c r="AX12" s="30" t="s">
        <v>1</v>
      </c>
      <c r="AY12" s="25" t="s">
        <v>35</v>
      </c>
      <c r="AZ12" s="29"/>
      <c r="BA12" s="51"/>
      <c r="BB12" s="30">
        <f t="shared" si="3"/>
        <v>1.4158285937125152</v>
      </c>
      <c r="BC12" s="30" t="s">
        <v>3</v>
      </c>
      <c r="BD12" s="25" t="s">
        <v>35</v>
      </c>
      <c r="BE12" s="29"/>
      <c r="BF12" s="51"/>
      <c r="BG12" s="30">
        <f t="shared" si="4"/>
        <v>1.4158285937125152</v>
      </c>
      <c r="BH12" s="30" t="s">
        <v>3</v>
      </c>
      <c r="BI12" s="25" t="s">
        <v>35</v>
      </c>
      <c r="BJ12" s="29"/>
      <c r="BK12" s="51"/>
      <c r="BL12" s="30">
        <f t="shared" si="5"/>
        <v>1.4158285937125152</v>
      </c>
      <c r="BM12" s="30" t="s">
        <v>3</v>
      </c>
      <c r="BN12" s="25" t="s">
        <v>35</v>
      </c>
      <c r="BO12" s="29"/>
      <c r="BP12" s="51"/>
      <c r="BQ12" s="30">
        <f t="shared" si="6"/>
        <v>1.4730919862656235</v>
      </c>
      <c r="BR12" s="30" t="s">
        <v>1</v>
      </c>
      <c r="BS12" s="25" t="s">
        <v>35</v>
      </c>
      <c r="BT12" s="29"/>
      <c r="BU12" s="51"/>
      <c r="BV12" s="30">
        <f t="shared" si="7"/>
        <v>1.7262676501632068</v>
      </c>
      <c r="BW12" s="30" t="s">
        <v>5</v>
      </c>
      <c r="BX12" s="25" t="s">
        <v>35</v>
      </c>
      <c r="BY12" s="29"/>
    </row>
    <row r="13" spans="1:77" x14ac:dyDescent="0.25">
      <c r="A13" s="25">
        <v>0.5</v>
      </c>
      <c r="B13" s="25">
        <v>0</v>
      </c>
      <c r="C13" s="25">
        <v>0</v>
      </c>
      <c r="D13" s="25">
        <v>0</v>
      </c>
      <c r="E13" s="25">
        <v>0</v>
      </c>
      <c r="F13" s="25">
        <v>1</v>
      </c>
      <c r="G13" s="25">
        <v>0.5</v>
      </c>
      <c r="H13" s="25">
        <v>1</v>
      </c>
      <c r="I13" s="25">
        <v>0.6</v>
      </c>
      <c r="J13" s="25">
        <v>0</v>
      </c>
      <c r="K13" s="25">
        <v>0</v>
      </c>
      <c r="L13" s="25">
        <v>0.2</v>
      </c>
      <c r="M13" s="25">
        <v>0.5</v>
      </c>
      <c r="N13" s="25">
        <v>0</v>
      </c>
      <c r="O13" s="25">
        <v>0</v>
      </c>
      <c r="P13" s="25">
        <v>0</v>
      </c>
      <c r="Q13" s="25">
        <v>1</v>
      </c>
      <c r="R13" s="25">
        <v>0</v>
      </c>
      <c r="S13" s="25">
        <v>1</v>
      </c>
      <c r="T13" s="25">
        <v>1</v>
      </c>
      <c r="U13" s="25">
        <v>1</v>
      </c>
      <c r="V13" s="25">
        <v>0</v>
      </c>
      <c r="W13" s="25">
        <v>1</v>
      </c>
      <c r="X13" s="25">
        <v>1</v>
      </c>
      <c r="Y13" s="25">
        <v>1</v>
      </c>
      <c r="Z13" s="25">
        <v>0</v>
      </c>
      <c r="AA13" s="25">
        <v>1</v>
      </c>
      <c r="AB13" s="25">
        <v>1</v>
      </c>
      <c r="AC13" s="25">
        <v>1</v>
      </c>
      <c r="AD13" s="25">
        <v>1</v>
      </c>
      <c r="AE13" s="25">
        <v>0</v>
      </c>
      <c r="AF13" s="25">
        <v>1</v>
      </c>
      <c r="AG13" s="25">
        <v>1</v>
      </c>
      <c r="AH13" s="25" t="s">
        <v>35</v>
      </c>
      <c r="AI13" s="57"/>
      <c r="AJ13" s="58"/>
      <c r="AK13" s="29"/>
      <c r="AL13" s="52"/>
      <c r="AM13" s="30">
        <f t="shared" si="0"/>
        <v>0.2</v>
      </c>
      <c r="AN13" s="30" t="s">
        <v>2</v>
      </c>
      <c r="AO13" s="25" t="s">
        <v>35</v>
      </c>
      <c r="AP13" s="29"/>
      <c r="AQ13" s="52"/>
      <c r="AR13" s="30">
        <f t="shared" si="1"/>
        <v>1.1200761611488563</v>
      </c>
      <c r="AS13" s="30" t="s">
        <v>2</v>
      </c>
      <c r="AT13" s="25" t="s">
        <v>35</v>
      </c>
      <c r="AU13" s="29"/>
      <c r="AV13" s="52"/>
      <c r="AW13" s="30">
        <f t="shared" si="2"/>
        <v>1.7058722109231981</v>
      </c>
      <c r="AX13" s="30" t="s">
        <v>5</v>
      </c>
      <c r="AY13" s="25" t="s">
        <v>35</v>
      </c>
      <c r="AZ13" s="29"/>
      <c r="BA13" s="52"/>
      <c r="BB13" s="30">
        <f t="shared" si="3"/>
        <v>1.1200761611488563</v>
      </c>
      <c r="BC13" s="30" t="s">
        <v>2</v>
      </c>
      <c r="BD13" s="25" t="s">
        <v>35</v>
      </c>
      <c r="BE13" s="29"/>
      <c r="BF13" s="52"/>
      <c r="BG13" s="30">
        <f t="shared" si="4"/>
        <v>1.1200761611488563</v>
      </c>
      <c r="BH13" s="30" t="s">
        <v>2</v>
      </c>
      <c r="BI13" s="25" t="s">
        <v>35</v>
      </c>
      <c r="BJ13" s="29"/>
      <c r="BK13" s="52"/>
      <c r="BL13" s="30">
        <f t="shared" si="5"/>
        <v>1.1200761611488563</v>
      </c>
      <c r="BM13" s="30" t="s">
        <v>2</v>
      </c>
      <c r="BN13" s="25" t="s">
        <v>35</v>
      </c>
      <c r="BO13" s="29"/>
      <c r="BP13" s="52"/>
      <c r="BQ13" s="30">
        <f t="shared" si="6"/>
        <v>1.2727922061357855</v>
      </c>
      <c r="BR13" s="30" t="s">
        <v>2</v>
      </c>
      <c r="BS13" s="25" t="s">
        <v>35</v>
      </c>
      <c r="BT13" s="29"/>
      <c r="BU13" s="52"/>
      <c r="BV13" s="30">
        <f t="shared" si="7"/>
        <v>1.5905973720586866</v>
      </c>
      <c r="BW13" s="30" t="s">
        <v>1</v>
      </c>
      <c r="BX13" s="25" t="s">
        <v>35</v>
      </c>
      <c r="BY13" s="29"/>
    </row>
    <row r="14" spans="1:77" ht="14.45" x14ac:dyDescent="0.3">
      <c r="A14" s="26">
        <v>0.5</v>
      </c>
      <c r="B14" s="26">
        <v>0</v>
      </c>
      <c r="C14" s="26">
        <v>0</v>
      </c>
      <c r="D14" s="26">
        <v>0</v>
      </c>
      <c r="E14" s="26">
        <v>0</v>
      </c>
      <c r="F14" s="26">
        <v>1</v>
      </c>
      <c r="G14" s="26">
        <v>0.5</v>
      </c>
      <c r="H14" s="26">
        <v>1</v>
      </c>
      <c r="I14" s="26">
        <v>0.6</v>
      </c>
      <c r="J14" s="26">
        <v>0</v>
      </c>
      <c r="K14" s="26">
        <v>0</v>
      </c>
      <c r="L14" s="26">
        <v>0</v>
      </c>
      <c r="M14" s="26">
        <v>0.5</v>
      </c>
      <c r="N14" s="26">
        <v>0</v>
      </c>
      <c r="O14" s="26">
        <v>0</v>
      </c>
      <c r="P14" s="26">
        <v>0</v>
      </c>
      <c r="Q14" s="26">
        <v>1</v>
      </c>
      <c r="R14" s="26">
        <v>0</v>
      </c>
      <c r="S14" s="26">
        <v>1</v>
      </c>
      <c r="T14" s="26">
        <v>1</v>
      </c>
      <c r="U14" s="26">
        <v>1</v>
      </c>
      <c r="V14" s="26">
        <v>0</v>
      </c>
      <c r="W14" s="26">
        <v>1</v>
      </c>
      <c r="X14" s="26">
        <v>1</v>
      </c>
      <c r="Y14" s="26">
        <v>1</v>
      </c>
      <c r="Z14" s="26">
        <v>0</v>
      </c>
      <c r="AA14" s="26">
        <v>1</v>
      </c>
      <c r="AB14" s="26">
        <v>1</v>
      </c>
      <c r="AC14" s="26">
        <v>1</v>
      </c>
      <c r="AD14" s="26">
        <v>1</v>
      </c>
      <c r="AE14" s="26">
        <v>0</v>
      </c>
      <c r="AF14" s="26">
        <v>1</v>
      </c>
      <c r="AG14" s="26">
        <v>1</v>
      </c>
      <c r="AH14" s="26" t="s">
        <v>37</v>
      </c>
      <c r="AI14" s="27" t="s">
        <v>35</v>
      </c>
      <c r="AJ14" s="28" t="s">
        <v>34</v>
      </c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7" ht="14.45" x14ac:dyDescent="0.3">
      <c r="A15" s="26">
        <v>0</v>
      </c>
      <c r="B15" s="26">
        <v>0.1</v>
      </c>
      <c r="C15" s="26">
        <v>0.2</v>
      </c>
      <c r="D15" s="26">
        <v>0.5</v>
      </c>
      <c r="E15" s="26">
        <v>0.1</v>
      </c>
      <c r="F15" s="26">
        <v>0.9</v>
      </c>
      <c r="G15" s="26">
        <v>0.55416666666666603</v>
      </c>
      <c r="H15" s="26">
        <v>0.848101265822784</v>
      </c>
      <c r="I15" s="26">
        <v>0.42278481012658198</v>
      </c>
      <c r="J15" s="26">
        <v>0.13055555555555501</v>
      </c>
      <c r="K15" s="26">
        <v>0.05</v>
      </c>
      <c r="L15" s="26">
        <v>0.26216216216216198</v>
      </c>
      <c r="M15" s="26">
        <v>0.515625</v>
      </c>
      <c r="N15" s="26">
        <v>7.4999999999999997E-2</v>
      </c>
      <c r="O15" s="26">
        <v>5.0632911392405E-2</v>
      </c>
      <c r="P15" s="26">
        <v>9.9999999999999895E-2</v>
      </c>
      <c r="Q15" s="26">
        <v>0.938271604938271</v>
      </c>
      <c r="R15" s="26">
        <v>0.38271604938271597</v>
      </c>
      <c r="S15" s="26">
        <v>0.96296296296296302</v>
      </c>
      <c r="T15" s="26">
        <v>1</v>
      </c>
      <c r="U15" s="26">
        <v>1</v>
      </c>
      <c r="V15" s="26">
        <v>0.12345679012345601</v>
      </c>
      <c r="W15" s="26">
        <v>0.96296296296296302</v>
      </c>
      <c r="X15" s="26">
        <v>0.95061728395061695</v>
      </c>
      <c r="Y15" s="26">
        <v>0.75308641975308599</v>
      </c>
      <c r="Z15" s="26">
        <v>0.35802469135802401</v>
      </c>
      <c r="AA15" s="26">
        <v>0.98765432098765404</v>
      </c>
      <c r="AB15" s="26">
        <v>1</v>
      </c>
      <c r="AC15" s="26">
        <v>0.97530864197530798</v>
      </c>
      <c r="AD15" s="26">
        <v>1</v>
      </c>
      <c r="AE15" s="26">
        <v>0.46249999999999902</v>
      </c>
      <c r="AF15" s="26">
        <v>1</v>
      </c>
      <c r="AG15" s="26">
        <v>0.89610389610389596</v>
      </c>
      <c r="AH15" s="26" t="s">
        <v>37</v>
      </c>
      <c r="AI15" s="27" t="s">
        <v>35</v>
      </c>
      <c r="AJ15" s="28" t="s">
        <v>35</v>
      </c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</row>
    <row r="16" spans="1:77" ht="14.45" x14ac:dyDescent="0.3">
      <c r="A16" s="26">
        <v>0</v>
      </c>
      <c r="B16" s="26">
        <v>0</v>
      </c>
      <c r="C16" s="26">
        <v>0</v>
      </c>
      <c r="D16" s="26">
        <v>0.7</v>
      </c>
      <c r="E16" s="26">
        <v>0.3</v>
      </c>
      <c r="F16" s="26">
        <v>1</v>
      </c>
      <c r="G16" s="26">
        <v>0.5</v>
      </c>
      <c r="H16" s="26">
        <v>1</v>
      </c>
      <c r="I16" s="26">
        <v>0.4</v>
      </c>
      <c r="J16" s="26">
        <v>0</v>
      </c>
      <c r="K16" s="26">
        <v>0</v>
      </c>
      <c r="L16" s="26">
        <v>0</v>
      </c>
      <c r="M16" s="26">
        <v>0.5</v>
      </c>
      <c r="N16" s="26">
        <v>0</v>
      </c>
      <c r="O16" s="26">
        <v>0</v>
      </c>
      <c r="P16" s="26">
        <v>0</v>
      </c>
      <c r="Q16" s="26">
        <v>1</v>
      </c>
      <c r="R16" s="26">
        <v>1</v>
      </c>
      <c r="S16" s="26">
        <v>1</v>
      </c>
      <c r="T16" s="26">
        <v>1</v>
      </c>
      <c r="U16" s="26">
        <v>1</v>
      </c>
      <c r="V16" s="26">
        <v>0</v>
      </c>
      <c r="W16" s="26">
        <v>1</v>
      </c>
      <c r="X16" s="26">
        <v>1</v>
      </c>
      <c r="Y16" s="26">
        <v>1</v>
      </c>
      <c r="Z16" s="26">
        <v>1</v>
      </c>
      <c r="AA16" s="26">
        <v>1</v>
      </c>
      <c r="AB16" s="26">
        <v>1</v>
      </c>
      <c r="AC16" s="26">
        <v>1</v>
      </c>
      <c r="AD16" s="26">
        <v>1</v>
      </c>
      <c r="AE16" s="26">
        <v>0</v>
      </c>
      <c r="AF16" s="26">
        <v>1</v>
      </c>
      <c r="AG16" s="26">
        <v>1</v>
      </c>
      <c r="AH16" s="26" t="s">
        <v>37</v>
      </c>
      <c r="AI16" s="27" t="s">
        <v>35</v>
      </c>
      <c r="AJ16" s="28" t="s">
        <v>34</v>
      </c>
      <c r="AK16" s="29"/>
      <c r="AL16" s="48" t="s">
        <v>113</v>
      </c>
      <c r="AM16" s="48"/>
      <c r="AN16" s="48"/>
      <c r="AO16" s="48"/>
      <c r="AP16" s="48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</row>
    <row r="17" spans="1:77" ht="14.45" x14ac:dyDescent="0.3">
      <c r="A17" s="26">
        <v>0</v>
      </c>
      <c r="B17" s="26">
        <v>0.1</v>
      </c>
      <c r="C17" s="26">
        <v>0.2</v>
      </c>
      <c r="D17" s="26">
        <v>0.5</v>
      </c>
      <c r="E17" s="26">
        <v>0.1</v>
      </c>
      <c r="F17" s="26">
        <v>0.9</v>
      </c>
      <c r="G17" s="26">
        <v>0.55416666666666603</v>
      </c>
      <c r="H17" s="26">
        <v>0.848101265822784</v>
      </c>
      <c r="I17" s="26">
        <v>0.42278481012658198</v>
      </c>
      <c r="J17" s="26">
        <v>0.13055555555555501</v>
      </c>
      <c r="K17" s="26">
        <v>0.05</v>
      </c>
      <c r="L17" s="26">
        <v>0.26216216216216198</v>
      </c>
      <c r="M17" s="26">
        <v>0.515625</v>
      </c>
      <c r="N17" s="26">
        <v>7.4999999999999997E-2</v>
      </c>
      <c r="O17" s="26">
        <v>5.0632911392405E-2</v>
      </c>
      <c r="P17" s="26">
        <v>9.9999999999999895E-2</v>
      </c>
      <c r="Q17" s="26">
        <v>0.938271604938271</v>
      </c>
      <c r="R17" s="26">
        <v>0.38271604938271597</v>
      </c>
      <c r="S17" s="26">
        <v>0.96296296296296302</v>
      </c>
      <c r="T17" s="26">
        <v>1</v>
      </c>
      <c r="U17" s="26">
        <v>1</v>
      </c>
      <c r="V17" s="26">
        <v>0.12345679012345601</v>
      </c>
      <c r="W17" s="26">
        <v>0.96296296296296302</v>
      </c>
      <c r="X17" s="26">
        <v>0.95061728395061695</v>
      </c>
      <c r="Y17" s="26">
        <v>0.75308641975308599</v>
      </c>
      <c r="Z17" s="26">
        <v>0.35802469135802401</v>
      </c>
      <c r="AA17" s="26">
        <v>0.98765432098765404</v>
      </c>
      <c r="AB17" s="26">
        <v>1</v>
      </c>
      <c r="AC17" s="26">
        <v>0.97530864197530798</v>
      </c>
      <c r="AD17" s="26">
        <v>1</v>
      </c>
      <c r="AE17" s="26">
        <v>0.46249999999999902</v>
      </c>
      <c r="AF17" s="26">
        <v>1</v>
      </c>
      <c r="AG17" s="26">
        <v>0.89610389610389596</v>
      </c>
      <c r="AH17" s="26" t="s">
        <v>37</v>
      </c>
      <c r="AI17" s="27" t="s">
        <v>35</v>
      </c>
      <c r="AJ17" s="28" t="s">
        <v>35</v>
      </c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</row>
    <row r="18" spans="1:77" x14ac:dyDescent="0.25">
      <c r="A18" s="26">
        <v>0</v>
      </c>
      <c r="B18" s="26">
        <v>0.1</v>
      </c>
      <c r="C18" s="26">
        <v>0.2</v>
      </c>
      <c r="D18" s="26">
        <v>0.5</v>
      </c>
      <c r="E18" s="26">
        <v>0.1</v>
      </c>
      <c r="F18" s="26">
        <v>0.9</v>
      </c>
      <c r="G18" s="26">
        <v>0.55416666666666603</v>
      </c>
      <c r="H18" s="26">
        <v>0.848101265822784</v>
      </c>
      <c r="I18" s="26">
        <v>0.42278481012658198</v>
      </c>
      <c r="J18" s="26">
        <v>0.13055555555555501</v>
      </c>
      <c r="K18" s="26">
        <v>0.05</v>
      </c>
      <c r="L18" s="26">
        <v>0.26216216216216198</v>
      </c>
      <c r="M18" s="26">
        <v>0.515625</v>
      </c>
      <c r="N18" s="26">
        <v>7.4999999999999997E-2</v>
      </c>
      <c r="O18" s="26">
        <v>5.0632911392405E-2</v>
      </c>
      <c r="P18" s="26">
        <v>9.9999999999999895E-2</v>
      </c>
      <c r="Q18" s="26">
        <v>0.938271604938271</v>
      </c>
      <c r="R18" s="26">
        <v>0.38271604938271597</v>
      </c>
      <c r="S18" s="26">
        <v>0.96296296296296302</v>
      </c>
      <c r="T18" s="26">
        <v>1</v>
      </c>
      <c r="U18" s="26">
        <v>1</v>
      </c>
      <c r="V18" s="26">
        <v>0.12345679012345601</v>
      </c>
      <c r="W18" s="26">
        <v>0.96296296296296302</v>
      </c>
      <c r="X18" s="26">
        <v>0.95061728395061695</v>
      </c>
      <c r="Y18" s="26">
        <v>0.75308641975308599</v>
      </c>
      <c r="Z18" s="26">
        <v>0.35802469135802401</v>
      </c>
      <c r="AA18" s="26">
        <v>0.98765432098765404</v>
      </c>
      <c r="AB18" s="26">
        <v>1</v>
      </c>
      <c r="AC18" s="26">
        <v>0.97530864197530798</v>
      </c>
      <c r="AD18" s="26">
        <v>1</v>
      </c>
      <c r="AE18" s="26">
        <v>0.46249999999999902</v>
      </c>
      <c r="AF18" s="26">
        <v>1</v>
      </c>
      <c r="AG18" s="26">
        <v>0.89610389610389596</v>
      </c>
      <c r="AH18" s="26" t="s">
        <v>37</v>
      </c>
      <c r="AI18" s="27" t="s">
        <v>35</v>
      </c>
      <c r="AJ18" s="28" t="s">
        <v>35</v>
      </c>
      <c r="AK18" s="29"/>
      <c r="AL18" s="47" t="s">
        <v>117</v>
      </c>
      <c r="AM18" s="47"/>
      <c r="AN18" s="47" t="s">
        <v>98</v>
      </c>
      <c r="AO18" s="47"/>
      <c r="AP18" s="49" t="s">
        <v>114</v>
      </c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</row>
    <row r="19" spans="1:77" x14ac:dyDescent="0.25">
      <c r="A19" s="26">
        <v>0</v>
      </c>
      <c r="B19" s="26">
        <v>0.1</v>
      </c>
      <c r="C19" s="26">
        <v>0.2</v>
      </c>
      <c r="D19" s="26">
        <v>0.5</v>
      </c>
      <c r="E19" s="26">
        <v>0.1</v>
      </c>
      <c r="F19" s="26">
        <v>0.9</v>
      </c>
      <c r="G19" s="26">
        <v>0.55416666666666603</v>
      </c>
      <c r="H19" s="26">
        <v>0.848101265822784</v>
      </c>
      <c r="I19" s="26">
        <v>0.42278481012658198</v>
      </c>
      <c r="J19" s="26">
        <v>0.13055555555555501</v>
      </c>
      <c r="K19" s="26">
        <v>0.05</v>
      </c>
      <c r="L19" s="26">
        <v>0.26216216216216198</v>
      </c>
      <c r="M19" s="26">
        <v>0.515625</v>
      </c>
      <c r="N19" s="26">
        <v>7.4999999999999997E-2</v>
      </c>
      <c r="O19" s="26">
        <v>5.0632911392405E-2</v>
      </c>
      <c r="P19" s="26">
        <v>9.9999999999999895E-2</v>
      </c>
      <c r="Q19" s="26">
        <v>0.938271604938271</v>
      </c>
      <c r="R19" s="26">
        <v>0.38271604938271597</v>
      </c>
      <c r="S19" s="26">
        <v>0.96296296296296302</v>
      </c>
      <c r="T19" s="26">
        <v>1</v>
      </c>
      <c r="U19" s="26">
        <v>1</v>
      </c>
      <c r="V19" s="26">
        <v>0.12345679012345601</v>
      </c>
      <c r="W19" s="26">
        <v>0.96296296296296302</v>
      </c>
      <c r="X19" s="26">
        <v>0.95061728395061695</v>
      </c>
      <c r="Y19" s="26">
        <v>0.75308641975308599</v>
      </c>
      <c r="Z19" s="26">
        <v>0.35802469135802401</v>
      </c>
      <c r="AA19" s="26">
        <v>0.98765432098765404</v>
      </c>
      <c r="AB19" s="26">
        <v>1</v>
      </c>
      <c r="AC19" s="26">
        <v>0.97530864197530798</v>
      </c>
      <c r="AD19" s="26">
        <v>1</v>
      </c>
      <c r="AE19" s="26">
        <v>0.46249999999999902</v>
      </c>
      <c r="AF19" s="26">
        <v>1</v>
      </c>
      <c r="AG19" s="26">
        <v>0.89610389610389596</v>
      </c>
      <c r="AH19" s="26" t="s">
        <v>37</v>
      </c>
      <c r="AI19" s="27" t="s">
        <v>35</v>
      </c>
      <c r="AJ19" s="28" t="s">
        <v>35</v>
      </c>
      <c r="AK19" s="29"/>
      <c r="AL19" s="47"/>
      <c r="AM19" s="47"/>
      <c r="AN19" s="31" t="s">
        <v>34</v>
      </c>
      <c r="AO19" s="31" t="s">
        <v>35</v>
      </c>
      <c r="AP19" s="4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</row>
    <row r="20" spans="1:77" x14ac:dyDescent="0.25">
      <c r="A20" s="26">
        <v>0.2</v>
      </c>
      <c r="B20" s="26">
        <v>0</v>
      </c>
      <c r="C20" s="26">
        <v>0</v>
      </c>
      <c r="D20" s="26">
        <v>0.7</v>
      </c>
      <c r="E20" s="26">
        <v>0</v>
      </c>
      <c r="F20" s="26">
        <v>1</v>
      </c>
      <c r="G20" s="26">
        <v>0.5</v>
      </c>
      <c r="H20" s="26">
        <v>1</v>
      </c>
      <c r="I20" s="26">
        <v>0.6</v>
      </c>
      <c r="J20" s="26">
        <v>0</v>
      </c>
      <c r="K20" s="26">
        <v>0</v>
      </c>
      <c r="L20" s="26">
        <v>0</v>
      </c>
      <c r="M20" s="26">
        <v>0.5</v>
      </c>
      <c r="N20" s="26">
        <v>0</v>
      </c>
      <c r="O20" s="26">
        <v>0</v>
      </c>
      <c r="P20" s="26">
        <v>0</v>
      </c>
      <c r="Q20" s="26">
        <v>1</v>
      </c>
      <c r="R20" s="26">
        <v>0</v>
      </c>
      <c r="S20" s="26">
        <v>1</v>
      </c>
      <c r="T20" s="26">
        <v>1</v>
      </c>
      <c r="U20" s="26">
        <v>1</v>
      </c>
      <c r="V20" s="26">
        <v>0</v>
      </c>
      <c r="W20" s="26">
        <v>1</v>
      </c>
      <c r="X20" s="26">
        <v>1</v>
      </c>
      <c r="Y20" s="26">
        <v>0</v>
      </c>
      <c r="Z20" s="26">
        <v>0</v>
      </c>
      <c r="AA20" s="26">
        <v>1</v>
      </c>
      <c r="AB20" s="26">
        <v>1</v>
      </c>
      <c r="AC20" s="26">
        <v>1</v>
      </c>
      <c r="AD20" s="26">
        <v>1</v>
      </c>
      <c r="AE20" s="26">
        <v>0</v>
      </c>
      <c r="AF20" s="26">
        <v>1</v>
      </c>
      <c r="AG20" s="26">
        <v>1</v>
      </c>
      <c r="AH20" s="26" t="s">
        <v>37</v>
      </c>
      <c r="AI20" s="27" t="s">
        <v>35</v>
      </c>
      <c r="AJ20" s="28" t="s">
        <v>35</v>
      </c>
      <c r="AK20" s="29"/>
      <c r="AL20" s="47" t="s">
        <v>99</v>
      </c>
      <c r="AM20" s="31" t="s">
        <v>34</v>
      </c>
      <c r="AN20" s="31">
        <v>1</v>
      </c>
      <c r="AO20" s="31">
        <v>2</v>
      </c>
      <c r="AP20" s="32">
        <f>AN20/(AN20+AO20)</f>
        <v>0.33333333333333331</v>
      </c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7" x14ac:dyDescent="0.25">
      <c r="A21" s="26">
        <v>0.3</v>
      </c>
      <c r="B21" s="26">
        <v>0</v>
      </c>
      <c r="C21" s="26">
        <v>0</v>
      </c>
      <c r="D21" s="26">
        <v>0.7</v>
      </c>
      <c r="E21" s="26">
        <v>0</v>
      </c>
      <c r="F21" s="26">
        <v>1</v>
      </c>
      <c r="G21" s="26">
        <v>0.5</v>
      </c>
      <c r="H21" s="26">
        <v>1</v>
      </c>
      <c r="I21" s="26">
        <v>0.6</v>
      </c>
      <c r="J21" s="26">
        <v>0</v>
      </c>
      <c r="K21" s="26">
        <v>0</v>
      </c>
      <c r="L21" s="26">
        <v>0.2</v>
      </c>
      <c r="M21" s="26">
        <v>0.5</v>
      </c>
      <c r="N21" s="26">
        <v>0</v>
      </c>
      <c r="O21" s="26">
        <v>0</v>
      </c>
      <c r="P21" s="26">
        <v>0</v>
      </c>
      <c r="Q21" s="26">
        <v>1</v>
      </c>
      <c r="R21" s="26">
        <v>1</v>
      </c>
      <c r="S21" s="26">
        <v>1</v>
      </c>
      <c r="T21" s="26">
        <v>1</v>
      </c>
      <c r="U21" s="26">
        <v>1</v>
      </c>
      <c r="V21" s="26">
        <v>0</v>
      </c>
      <c r="W21" s="26">
        <v>1</v>
      </c>
      <c r="X21" s="26">
        <v>1</v>
      </c>
      <c r="Y21" s="26">
        <v>1</v>
      </c>
      <c r="Z21" s="26">
        <v>1</v>
      </c>
      <c r="AA21" s="26">
        <v>1</v>
      </c>
      <c r="AB21" s="26">
        <v>1</v>
      </c>
      <c r="AC21" s="26">
        <v>1</v>
      </c>
      <c r="AD21" s="26">
        <v>1</v>
      </c>
      <c r="AE21" s="26">
        <v>0</v>
      </c>
      <c r="AF21" s="26">
        <v>1</v>
      </c>
      <c r="AG21" s="26">
        <v>1</v>
      </c>
      <c r="AH21" s="26" t="s">
        <v>37</v>
      </c>
      <c r="AI21" s="27" t="s">
        <v>34</v>
      </c>
      <c r="AJ21" s="28" t="s">
        <v>34</v>
      </c>
      <c r="AK21" s="29"/>
      <c r="AL21" s="47"/>
      <c r="AM21" s="31" t="s">
        <v>35</v>
      </c>
      <c r="AN21" s="31">
        <v>0</v>
      </c>
      <c r="AO21" s="31">
        <v>5</v>
      </c>
      <c r="AP21" s="32">
        <f>AO21/(AN21+AO21)</f>
        <v>1</v>
      </c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</row>
    <row r="22" spans="1:77" ht="14.45" x14ac:dyDescent="0.3">
      <c r="AK22" s="29"/>
      <c r="AL22" s="47" t="s">
        <v>115</v>
      </c>
      <c r="AM22" s="47"/>
      <c r="AN22" s="32">
        <f>AN20/(AN20+AN21)</f>
        <v>1</v>
      </c>
      <c r="AO22" s="32">
        <f>AO21/(AO20+AO21)</f>
        <v>0.7142857142857143</v>
      </c>
      <c r="AP22" s="32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</row>
    <row r="23" spans="1:77" ht="14.45" x14ac:dyDescent="0.3"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7" ht="14.45" x14ac:dyDescent="0.3">
      <c r="AK24" s="29"/>
      <c r="AL24" s="47" t="s">
        <v>116</v>
      </c>
      <c r="AM24" s="47"/>
      <c r="AN24" s="47"/>
      <c r="AO24" s="47"/>
      <c r="AP24" s="32">
        <f>(AN20+AO21)/(AN20+AO20+AN21+AO21)</f>
        <v>0.75</v>
      </c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</row>
    <row r="25" spans="1:77" ht="14.45" x14ac:dyDescent="0.3"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</row>
    <row r="26" spans="1:77" ht="14.45" x14ac:dyDescent="0.3"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</row>
    <row r="27" spans="1:77" ht="14.45" x14ac:dyDescent="0.3"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</row>
    <row r="28" spans="1:77" ht="14.45" x14ac:dyDescent="0.3"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</row>
    <row r="29" spans="1:77" ht="14.45" x14ac:dyDescent="0.3"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</row>
    <row r="30" spans="1:77" ht="14.45" x14ac:dyDescent="0.3"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</row>
  </sheetData>
  <sortState ref="BU2:BX13">
    <sortCondition ref="BV2:BV13"/>
  </sortState>
  <mergeCells count="16">
    <mergeCell ref="AI2:AJ13"/>
    <mergeCell ref="AL20:AL21"/>
    <mergeCell ref="AL22:AM22"/>
    <mergeCell ref="AL24:AO24"/>
    <mergeCell ref="BA2:BA13"/>
    <mergeCell ref="AL18:AM19"/>
    <mergeCell ref="AN18:AO18"/>
    <mergeCell ref="AP18:AP19"/>
    <mergeCell ref="BF2:BF13"/>
    <mergeCell ref="BP2:BP13"/>
    <mergeCell ref="BU2:BU13"/>
    <mergeCell ref="BK2:BK13"/>
    <mergeCell ref="AL16:AP16"/>
    <mergeCell ref="AL2:AL13"/>
    <mergeCell ref="AQ2:AQ13"/>
    <mergeCell ref="AV2:AV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CLEANING</vt:lpstr>
      <vt:lpstr>NORMALISASI</vt:lpstr>
      <vt:lpstr>DATA TRAINING</vt:lpstr>
      <vt:lpstr>DATA TESTING</vt:lpstr>
      <vt:lpstr>NBC</vt:lpstr>
      <vt:lpstr>C4.5</vt:lpstr>
      <vt:lpstr>KNN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2023-01-14T01:15:01Z</dcterms:created>
  <dcterms:modified xsi:type="dcterms:W3CDTF">2023-01-25T04:02:28Z</dcterms:modified>
</cp:coreProperties>
</file>